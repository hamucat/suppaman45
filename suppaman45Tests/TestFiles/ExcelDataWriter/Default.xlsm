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u\source\repos\suppaman\SuppamanTests\TestFiles\ExcelDataWriter\"/>
    </mc:Choice>
  </mc:AlternateContent>
  <xr:revisionPtr revIDLastSave="0" documentId="13_ncr:1_{9E7A76FD-0D1F-4FF3-A368-1B3F824CE0F5}" xr6:coauthVersionLast="47" xr6:coauthVersionMax="47" xr10:uidLastSave="{00000000-0000-0000-0000-000000000000}"/>
  <bookViews>
    <workbookView xWindow="2925" yWindow="2550" windowWidth="21600" windowHeight="12645" xr2:uid="{00000000-000D-0000-FFFF-FFFF00000000}"/>
  </bookViews>
  <sheets>
    <sheet name="Records" sheetId="2" r:id="rId1"/>
    <sheet name="管理" sheetId="18" r:id="rId2"/>
    <sheet name="日毎の人員構成・人員別日毎の従事ライン" sheetId="17" r:id="rId3"/>
    <sheet name="ライン構成と人員別統計情報" sheetId="19" r:id="rId4"/>
    <sheet name="人員別従事ラインランキング" sheetId="3" r:id="rId5"/>
    <sheet name="従事率グラフ" sheetId="9" r:id="rId6"/>
    <sheet name="ツイスト率テーブル" sheetId="8" r:id="rId7"/>
    <sheet name="IP率テーブル" sheetId="13" r:id="rId8"/>
    <sheet name="茶わん蒸し率テーブル" sheetId="14" r:id="rId9"/>
  </sheets>
  <definedNames>
    <definedName name="_xlnm._FilterDatabase" localSheetId="0" hidden="1">Records!$A$1:$C$792</definedName>
    <definedName name="_xlnm.Print_Area" localSheetId="7">IP率テーブル!$A$1</definedName>
    <definedName name="_xlnm.Print_Area" localSheetId="0">Records!$D$1</definedName>
    <definedName name="_xlnm.Print_Area" localSheetId="6">ツイスト率テーブル!$A$1</definedName>
    <definedName name="_xlnm.Print_Area" localSheetId="3">ライン構成と人員別統計情報!$B$4:$E$48</definedName>
    <definedName name="_xlnm.Print_Area" localSheetId="1">管理!$C$3</definedName>
    <definedName name="_xlnm.Print_Area" localSheetId="5">従事率グラフ!$A$3:$BX$41</definedName>
    <definedName name="_xlnm.Print_Area" localSheetId="4">人員別従事ラインランキング!$AT$1:$BF$51</definedName>
    <definedName name="_xlnm.Print_Area" localSheetId="8">茶わん蒸し率テーブル!$G$1</definedName>
    <definedName name="_xlnm.Print_Area" localSheetId="2">日毎の人員構成・人員別日毎の従事ライン!$AJ$3:$AT$54,日毎の人員構成・人員別日毎の従事ライン!$AW$3:$BD$53</definedName>
    <definedName name="Threshold" localSheetId="1">管理!$B$2</definedName>
    <definedName name="さんP" comment="グラフ用" localSheetId="8">茶わん蒸し率テーブル!$X$4:$X$48</definedName>
    <definedName name="その他" comment="グラフ用" localSheetId="8">茶わん蒸し率テーブル!$Z$4:$Z$48</definedName>
    <definedName name="ツイストⅠ" comment="グラフ用" localSheetId="8">茶わん蒸し率テーブル!$V$4:$V$48</definedName>
    <definedName name="ツイストⅡ" comment="グラフ用" localSheetId="8">茶わん蒸し率テーブル!$Y$4:$Y$48</definedName>
    <definedName name="わんＰ" comment="グラフ用" localSheetId="8">茶わん蒸し率テーブル!$W$4:$W$48</definedName>
    <definedName name="小泉印刷">日毎の人員構成・人員別日毎の従事ライン!$AJ$6:$AS$54</definedName>
    <definedName name="茶わんむし" comment="グラフ用" localSheetId="8">茶わん蒸し率テーブル!$U$4:$U$48</definedName>
    <definedName name="名前" comment="グラフ用" localSheetId="8">INDIRECT("茶わん蒸し率テーブル!"&amp;ADDRESS(4,COLUMN(茶わん蒸し率テーブル!$T$4),1)&amp;":"&amp;ADDRESS(COUNTA(茶わん蒸し率テーブル!$A:$A)+1,COLUMN(茶わん蒸し率テーブル!$T$4),1))</definedName>
    <definedName name="名前行範囲" localSheetId="3">ライン構成と人員別統計情報!$G$2</definedName>
  </definedNames>
  <calcPr calcId="191029" iterateCount="1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9" l="1"/>
  <c r="E2" i="19" s="1"/>
  <c r="H2" i="19" a="1"/>
  <c r="I2" i="19" a="1"/>
  <c r="F2" i="19" l="1"/>
  <c r="H2" i="19"/>
  <c r="B4" i="19"/>
  <c r="I2" i="19"/>
  <c r="B2" i="19" l="1"/>
  <c r="AE4" i="3" l="1"/>
  <c r="D2" i="18"/>
  <c r="C2" i="18"/>
  <c r="T50" i="14"/>
  <c r="U50" i="14"/>
  <c r="B21" i="19"/>
  <c r="C30" i="19"/>
  <c r="B48" i="19"/>
  <c r="B22" i="19"/>
  <c r="C47" i="19"/>
  <c r="B33" i="19"/>
  <c r="B42" i="19"/>
  <c r="B35" i="19"/>
  <c r="C43" i="19"/>
  <c r="B11" i="19"/>
  <c r="C22" i="19"/>
  <c r="C35" i="19"/>
  <c r="B43" i="19"/>
  <c r="C44" i="19"/>
  <c r="B36" i="19"/>
  <c r="C27" i="19"/>
  <c r="C36" i="19"/>
  <c r="B16" i="19"/>
  <c r="C42" i="19"/>
  <c r="B20" i="19"/>
  <c r="C17" i="19"/>
  <c r="B24" i="19"/>
  <c r="B37" i="19"/>
  <c r="C15" i="19"/>
  <c r="B38" i="19"/>
  <c r="B7" i="19"/>
  <c r="B10" i="19"/>
  <c r="C28" i="19"/>
  <c r="C33" i="19"/>
  <c r="B17" i="19"/>
  <c r="B29" i="19"/>
  <c r="C12" i="19"/>
  <c r="C21" i="19"/>
  <c r="C41" i="19"/>
  <c r="C8" i="19"/>
  <c r="B26" i="19"/>
  <c r="C20" i="19"/>
  <c r="C11" i="19"/>
  <c r="C18" i="19"/>
  <c r="C10" i="19"/>
  <c r="B18" i="19"/>
  <c r="B30" i="19"/>
  <c r="B39" i="19"/>
  <c r="C9" i="19"/>
  <c r="B46" i="19"/>
  <c r="B41" i="19"/>
  <c r="B44" i="19"/>
  <c r="B19" i="19"/>
  <c r="C45" i="19"/>
  <c r="B40" i="19"/>
  <c r="C34" i="19"/>
  <c r="C37" i="19"/>
  <c r="B14" i="19"/>
  <c r="B34" i="19"/>
  <c r="C25" i="19"/>
  <c r="C24" i="19"/>
  <c r="C38" i="19"/>
  <c r="B47" i="19"/>
  <c r="C23" i="19"/>
  <c r="C26" i="19"/>
  <c r="B45" i="19"/>
  <c r="C48" i="19"/>
  <c r="B27" i="19"/>
  <c r="C13" i="19"/>
  <c r="B31" i="19"/>
  <c r="B12" i="19"/>
  <c r="C39" i="19"/>
  <c r="B23" i="19"/>
  <c r="C29" i="19"/>
  <c r="B9" i="19"/>
  <c r="B32" i="19"/>
  <c r="C7" i="19"/>
  <c r="C19" i="19"/>
  <c r="C31" i="19"/>
  <c r="B13" i="19"/>
  <c r="B25" i="19"/>
  <c r="C16" i="19"/>
  <c r="C32" i="19"/>
  <c r="B15" i="19"/>
  <c r="B8" i="19"/>
  <c r="C40" i="19"/>
  <c r="C14" i="19"/>
  <c r="B28" i="19"/>
  <c r="C46" i="19"/>
  <c r="T4" i="14" l="1"/>
  <c r="T41" i="14"/>
  <c r="T42" i="14"/>
  <c r="T43" i="14"/>
  <c r="T44" i="14"/>
  <c r="T45" i="14"/>
  <c r="T46" i="14"/>
  <c r="T47" i="14"/>
  <c r="T48" i="14"/>
  <c r="T49" i="14"/>
  <c r="W3" i="14"/>
  <c r="X3" i="14"/>
  <c r="Y3" i="14"/>
  <c r="V3" i="14"/>
  <c r="Q60" i="3"/>
  <c r="R60" i="3"/>
  <c r="AF60" i="3" s="1"/>
  <c r="S60" i="3"/>
  <c r="AG60" i="3" s="1"/>
  <c r="T60" i="3"/>
  <c r="AH60" i="3" s="1"/>
  <c r="U60" i="3"/>
  <c r="AI60" i="3" s="1"/>
  <c r="V60" i="3"/>
  <c r="AJ60" i="3" s="1"/>
  <c r="W60" i="3"/>
  <c r="AK60" i="3" s="1"/>
  <c r="X60" i="3"/>
  <c r="AL60" i="3" s="1"/>
  <c r="Y60" i="3"/>
  <c r="AM60" i="3" s="1"/>
  <c r="Z60" i="3"/>
  <c r="AN60" i="3" s="1"/>
  <c r="AA60" i="3"/>
  <c r="AO60" i="3" s="1"/>
  <c r="AB60" i="3"/>
  <c r="AP60" i="3" s="1"/>
  <c r="AC60" i="3"/>
  <c r="AQ60" i="3" s="1"/>
  <c r="AD60" i="3"/>
  <c r="AR60" i="3" s="1"/>
  <c r="AE60" i="3"/>
  <c r="AS60" i="3" s="1"/>
  <c r="AT60" i="3"/>
  <c r="Q61" i="3"/>
  <c r="R61" i="3"/>
  <c r="AF61" i="3" s="1"/>
  <c r="S61" i="3"/>
  <c r="AG61" i="3" s="1"/>
  <c r="T61" i="3"/>
  <c r="AH61" i="3" s="1"/>
  <c r="U61" i="3"/>
  <c r="AI61" i="3" s="1"/>
  <c r="V61" i="3"/>
  <c r="AJ61" i="3" s="1"/>
  <c r="W61" i="3"/>
  <c r="AK61" i="3" s="1"/>
  <c r="X61" i="3"/>
  <c r="AL61" i="3" s="1"/>
  <c r="Y61" i="3"/>
  <c r="AM61" i="3" s="1"/>
  <c r="Z61" i="3"/>
  <c r="AN61" i="3" s="1"/>
  <c r="AA61" i="3"/>
  <c r="AO61" i="3" s="1"/>
  <c r="AB61" i="3"/>
  <c r="AP61" i="3" s="1"/>
  <c r="AC61" i="3"/>
  <c r="AQ61" i="3" s="1"/>
  <c r="AD61" i="3"/>
  <c r="AR61" i="3" s="1"/>
  <c r="AE61" i="3"/>
  <c r="AS61" i="3" s="1"/>
  <c r="AT61" i="3"/>
  <c r="Q62" i="3"/>
  <c r="R62" i="3"/>
  <c r="AF62" i="3" s="1"/>
  <c r="S62" i="3"/>
  <c r="AG62" i="3" s="1"/>
  <c r="T62" i="3"/>
  <c r="AH62" i="3" s="1"/>
  <c r="U62" i="3"/>
  <c r="AI62" i="3" s="1"/>
  <c r="V62" i="3"/>
  <c r="AJ62" i="3" s="1"/>
  <c r="W62" i="3"/>
  <c r="AK62" i="3" s="1"/>
  <c r="X62" i="3"/>
  <c r="AL62" i="3" s="1"/>
  <c r="Y62" i="3"/>
  <c r="AM62" i="3" s="1"/>
  <c r="Z62" i="3"/>
  <c r="AN62" i="3" s="1"/>
  <c r="AA62" i="3"/>
  <c r="AO62" i="3" s="1"/>
  <c r="AB62" i="3"/>
  <c r="AP62" i="3" s="1"/>
  <c r="AC62" i="3"/>
  <c r="AQ62" i="3" s="1"/>
  <c r="AD62" i="3"/>
  <c r="AR62" i="3" s="1"/>
  <c r="AE62" i="3"/>
  <c r="AS62" i="3" s="1"/>
  <c r="AT62" i="3"/>
  <c r="Q63" i="3"/>
  <c r="R63" i="3"/>
  <c r="AF63" i="3" s="1"/>
  <c r="S63" i="3"/>
  <c r="AG63" i="3" s="1"/>
  <c r="T63" i="3"/>
  <c r="AH63" i="3" s="1"/>
  <c r="U63" i="3"/>
  <c r="V63" i="3"/>
  <c r="AJ63" i="3" s="1"/>
  <c r="W63" i="3"/>
  <c r="AK63" i="3" s="1"/>
  <c r="X63" i="3"/>
  <c r="AL63" i="3" s="1"/>
  <c r="Y63" i="3"/>
  <c r="AM63" i="3" s="1"/>
  <c r="Z63" i="3"/>
  <c r="AN63" i="3" s="1"/>
  <c r="AA63" i="3"/>
  <c r="AO63" i="3" s="1"/>
  <c r="AB63" i="3"/>
  <c r="AP63" i="3" s="1"/>
  <c r="AC63" i="3"/>
  <c r="AQ63" i="3" s="1"/>
  <c r="AD63" i="3"/>
  <c r="AR63" i="3" s="1"/>
  <c r="AE63" i="3"/>
  <c r="AS63" i="3" s="1"/>
  <c r="AI63" i="3"/>
  <c r="AT63" i="3"/>
  <c r="Q50" i="3"/>
  <c r="R50" i="3"/>
  <c r="AF50" i="3" s="1"/>
  <c r="S50" i="3"/>
  <c r="AG50" i="3" s="1"/>
  <c r="T50" i="3"/>
  <c r="AH50" i="3" s="1"/>
  <c r="U50" i="3"/>
  <c r="AI50" i="3" s="1"/>
  <c r="V50" i="3"/>
  <c r="AJ50" i="3" s="1"/>
  <c r="W50" i="3"/>
  <c r="AK50" i="3" s="1"/>
  <c r="X50" i="3"/>
  <c r="AL50" i="3" s="1"/>
  <c r="Y50" i="3"/>
  <c r="AM50" i="3" s="1"/>
  <c r="Z50" i="3"/>
  <c r="AN50" i="3" s="1"/>
  <c r="AA50" i="3"/>
  <c r="AO50" i="3" s="1"/>
  <c r="AB50" i="3"/>
  <c r="AP50" i="3" s="1"/>
  <c r="AC50" i="3"/>
  <c r="AQ50" i="3" s="1"/>
  <c r="AD50" i="3"/>
  <c r="AR50" i="3" s="1"/>
  <c r="AE50" i="3"/>
  <c r="AS50" i="3" s="1"/>
  <c r="AT50" i="3"/>
  <c r="Q51" i="3"/>
  <c r="R51" i="3"/>
  <c r="AF51" i="3" s="1"/>
  <c r="S51" i="3"/>
  <c r="AG51" i="3" s="1"/>
  <c r="T51" i="3"/>
  <c r="U51" i="3"/>
  <c r="V51" i="3"/>
  <c r="AJ51" i="3" s="1"/>
  <c r="W51" i="3"/>
  <c r="AK51" i="3" s="1"/>
  <c r="X51" i="3"/>
  <c r="AL51" i="3" s="1"/>
  <c r="Y51" i="3"/>
  <c r="AM51" i="3" s="1"/>
  <c r="Z51" i="3"/>
  <c r="AN51" i="3" s="1"/>
  <c r="AA51" i="3"/>
  <c r="AO51" i="3" s="1"/>
  <c r="AB51" i="3"/>
  <c r="AP51" i="3" s="1"/>
  <c r="AC51" i="3"/>
  <c r="AQ51" i="3" s="1"/>
  <c r="AD51" i="3"/>
  <c r="AR51" i="3" s="1"/>
  <c r="AE51" i="3"/>
  <c r="AS51" i="3" s="1"/>
  <c r="AH51" i="3"/>
  <c r="AI51" i="3"/>
  <c r="AT51" i="3"/>
  <c r="Q52" i="3"/>
  <c r="R52" i="3"/>
  <c r="AF52" i="3" s="1"/>
  <c r="S52" i="3"/>
  <c r="AG52" i="3" s="1"/>
  <c r="T52" i="3"/>
  <c r="AH52" i="3" s="1"/>
  <c r="U52" i="3"/>
  <c r="AI52" i="3" s="1"/>
  <c r="V52" i="3"/>
  <c r="AJ52" i="3" s="1"/>
  <c r="W52" i="3"/>
  <c r="AK52" i="3" s="1"/>
  <c r="X52" i="3"/>
  <c r="AL52" i="3" s="1"/>
  <c r="Y52" i="3"/>
  <c r="AM52" i="3" s="1"/>
  <c r="Z52" i="3"/>
  <c r="AN52" i="3" s="1"/>
  <c r="AA52" i="3"/>
  <c r="AO52" i="3" s="1"/>
  <c r="AB52" i="3"/>
  <c r="AP52" i="3" s="1"/>
  <c r="AC52" i="3"/>
  <c r="AQ52" i="3" s="1"/>
  <c r="AD52" i="3"/>
  <c r="AR52" i="3" s="1"/>
  <c r="AE52" i="3"/>
  <c r="AS52" i="3" s="1"/>
  <c r="AT52" i="3"/>
  <c r="Q53" i="3"/>
  <c r="R53" i="3"/>
  <c r="AF53" i="3" s="1"/>
  <c r="S53" i="3"/>
  <c r="AG53" i="3" s="1"/>
  <c r="T53" i="3"/>
  <c r="U53" i="3"/>
  <c r="AI53" i="3" s="1"/>
  <c r="V53" i="3"/>
  <c r="AJ53" i="3" s="1"/>
  <c r="W53" i="3"/>
  <c r="AK53" i="3" s="1"/>
  <c r="X53" i="3"/>
  <c r="AL53" i="3" s="1"/>
  <c r="Y53" i="3"/>
  <c r="AM53" i="3" s="1"/>
  <c r="Z53" i="3"/>
  <c r="AN53" i="3" s="1"/>
  <c r="AA53" i="3"/>
  <c r="AO53" i="3" s="1"/>
  <c r="AB53" i="3"/>
  <c r="AP53" i="3" s="1"/>
  <c r="AC53" i="3"/>
  <c r="AQ53" i="3" s="1"/>
  <c r="AD53" i="3"/>
  <c r="AR53" i="3" s="1"/>
  <c r="AE53" i="3"/>
  <c r="AS53" i="3" s="1"/>
  <c r="AH53" i="3"/>
  <c r="AT53" i="3"/>
  <c r="Q54" i="3"/>
  <c r="R54" i="3"/>
  <c r="AF54" i="3" s="1"/>
  <c r="S54" i="3"/>
  <c r="AG54" i="3" s="1"/>
  <c r="T54" i="3"/>
  <c r="AH54" i="3" s="1"/>
  <c r="U54" i="3"/>
  <c r="AI54" i="3" s="1"/>
  <c r="V54" i="3"/>
  <c r="AJ54" i="3" s="1"/>
  <c r="W54" i="3"/>
  <c r="AK54" i="3" s="1"/>
  <c r="X54" i="3"/>
  <c r="AL54" i="3" s="1"/>
  <c r="Y54" i="3"/>
  <c r="AM54" i="3" s="1"/>
  <c r="Z54" i="3"/>
  <c r="AN54" i="3" s="1"/>
  <c r="AA54" i="3"/>
  <c r="AO54" i="3" s="1"/>
  <c r="AB54" i="3"/>
  <c r="AP54" i="3" s="1"/>
  <c r="AC54" i="3"/>
  <c r="AQ54" i="3" s="1"/>
  <c r="AD54" i="3"/>
  <c r="AR54" i="3" s="1"/>
  <c r="AE54" i="3"/>
  <c r="AS54" i="3" s="1"/>
  <c r="AT54" i="3"/>
  <c r="Q55" i="3"/>
  <c r="R55" i="3"/>
  <c r="AF55" i="3" s="1"/>
  <c r="S55" i="3"/>
  <c r="AG55" i="3" s="1"/>
  <c r="T55" i="3"/>
  <c r="AH55" i="3" s="1"/>
  <c r="U55" i="3"/>
  <c r="AI55" i="3" s="1"/>
  <c r="V55" i="3"/>
  <c r="AJ55" i="3" s="1"/>
  <c r="W55" i="3"/>
  <c r="AK55" i="3" s="1"/>
  <c r="X55" i="3"/>
  <c r="AL55" i="3" s="1"/>
  <c r="Y55" i="3"/>
  <c r="AM55" i="3" s="1"/>
  <c r="Z55" i="3"/>
  <c r="AN55" i="3" s="1"/>
  <c r="AA55" i="3"/>
  <c r="AO55" i="3" s="1"/>
  <c r="AB55" i="3"/>
  <c r="AP55" i="3" s="1"/>
  <c r="AC55" i="3"/>
  <c r="AQ55" i="3" s="1"/>
  <c r="AD55" i="3"/>
  <c r="AR55" i="3" s="1"/>
  <c r="AE55" i="3"/>
  <c r="AS55" i="3" s="1"/>
  <c r="AT55" i="3"/>
  <c r="Q56" i="3"/>
  <c r="R56" i="3"/>
  <c r="AF56" i="3" s="1"/>
  <c r="S56" i="3"/>
  <c r="AG56" i="3" s="1"/>
  <c r="T56" i="3"/>
  <c r="AH56" i="3" s="1"/>
  <c r="U56" i="3"/>
  <c r="AI56" i="3" s="1"/>
  <c r="V56" i="3"/>
  <c r="AJ56" i="3" s="1"/>
  <c r="W56" i="3"/>
  <c r="AK56" i="3" s="1"/>
  <c r="X56" i="3"/>
  <c r="AL56" i="3" s="1"/>
  <c r="Y56" i="3"/>
  <c r="AM56" i="3" s="1"/>
  <c r="Z56" i="3"/>
  <c r="AN56" i="3" s="1"/>
  <c r="AA56" i="3"/>
  <c r="AO56" i="3" s="1"/>
  <c r="AB56" i="3"/>
  <c r="AP56" i="3" s="1"/>
  <c r="AC56" i="3"/>
  <c r="AQ56" i="3" s="1"/>
  <c r="AD56" i="3"/>
  <c r="AR56" i="3" s="1"/>
  <c r="AE56" i="3"/>
  <c r="AS56" i="3" s="1"/>
  <c r="AT56" i="3"/>
  <c r="Q57" i="3"/>
  <c r="R57" i="3"/>
  <c r="AF57" i="3" s="1"/>
  <c r="S57" i="3"/>
  <c r="AG57" i="3" s="1"/>
  <c r="T57" i="3"/>
  <c r="AH57" i="3" s="1"/>
  <c r="U57" i="3"/>
  <c r="AI57" i="3" s="1"/>
  <c r="V57" i="3"/>
  <c r="AJ57" i="3" s="1"/>
  <c r="W57" i="3"/>
  <c r="AK57" i="3" s="1"/>
  <c r="X57" i="3"/>
  <c r="AL57" i="3" s="1"/>
  <c r="Y57" i="3"/>
  <c r="AM57" i="3" s="1"/>
  <c r="Z57" i="3"/>
  <c r="AN57" i="3" s="1"/>
  <c r="AA57" i="3"/>
  <c r="AO57" i="3" s="1"/>
  <c r="AB57" i="3"/>
  <c r="AP57" i="3" s="1"/>
  <c r="AC57" i="3"/>
  <c r="AQ57" i="3" s="1"/>
  <c r="AD57" i="3"/>
  <c r="AR57" i="3" s="1"/>
  <c r="AE57" i="3"/>
  <c r="AS57" i="3" s="1"/>
  <c r="AT57" i="3"/>
  <c r="Q58" i="3"/>
  <c r="R58" i="3"/>
  <c r="AF58" i="3" s="1"/>
  <c r="S58" i="3"/>
  <c r="AG58" i="3" s="1"/>
  <c r="T58" i="3"/>
  <c r="AH58" i="3" s="1"/>
  <c r="U58" i="3"/>
  <c r="AI58" i="3" s="1"/>
  <c r="V58" i="3"/>
  <c r="AJ58" i="3" s="1"/>
  <c r="W58" i="3"/>
  <c r="AK58" i="3" s="1"/>
  <c r="X58" i="3"/>
  <c r="AL58" i="3" s="1"/>
  <c r="Y58" i="3"/>
  <c r="AM58" i="3" s="1"/>
  <c r="Z58" i="3"/>
  <c r="AN58" i="3" s="1"/>
  <c r="AA58" i="3"/>
  <c r="AO58" i="3" s="1"/>
  <c r="AB58" i="3"/>
  <c r="AP58" i="3" s="1"/>
  <c r="AC58" i="3"/>
  <c r="AQ58" i="3" s="1"/>
  <c r="AD58" i="3"/>
  <c r="AR58" i="3" s="1"/>
  <c r="AE58" i="3"/>
  <c r="AS58" i="3" s="1"/>
  <c r="AT58" i="3"/>
  <c r="Q59" i="3"/>
  <c r="R59" i="3"/>
  <c r="AF59" i="3" s="1"/>
  <c r="S59" i="3"/>
  <c r="AG59" i="3" s="1"/>
  <c r="T59" i="3"/>
  <c r="AH59" i="3" s="1"/>
  <c r="U59" i="3"/>
  <c r="AI59" i="3" s="1"/>
  <c r="V59" i="3"/>
  <c r="AJ59" i="3" s="1"/>
  <c r="W59" i="3"/>
  <c r="AK59" i="3" s="1"/>
  <c r="X59" i="3"/>
  <c r="AL59" i="3" s="1"/>
  <c r="Y59" i="3"/>
  <c r="AM59" i="3" s="1"/>
  <c r="Z59" i="3"/>
  <c r="AN59" i="3" s="1"/>
  <c r="AA59" i="3"/>
  <c r="AO59" i="3" s="1"/>
  <c r="AB59" i="3"/>
  <c r="AP59" i="3" s="1"/>
  <c r="AC59" i="3"/>
  <c r="AQ59" i="3" s="1"/>
  <c r="AD59" i="3"/>
  <c r="AR59" i="3" s="1"/>
  <c r="AE59" i="3"/>
  <c r="AS59" i="3" s="1"/>
  <c r="AT59" i="3"/>
  <c r="AT49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" i="3"/>
  <c r="R49" i="3"/>
  <c r="AF49" i="3" s="1"/>
  <c r="S49" i="3"/>
  <c r="AG49" i="3" s="1"/>
  <c r="T49" i="3"/>
  <c r="AH49" i="3" s="1"/>
  <c r="U49" i="3"/>
  <c r="AI49" i="3" s="1"/>
  <c r="V49" i="3"/>
  <c r="AJ49" i="3" s="1"/>
  <c r="W49" i="3"/>
  <c r="AK49" i="3" s="1"/>
  <c r="X49" i="3"/>
  <c r="AL49" i="3" s="1"/>
  <c r="Y49" i="3"/>
  <c r="AM49" i="3" s="1"/>
  <c r="Z49" i="3"/>
  <c r="AN49" i="3" s="1"/>
  <c r="AA49" i="3"/>
  <c r="AO49" i="3" s="1"/>
  <c r="AB49" i="3"/>
  <c r="AP49" i="3" s="1"/>
  <c r="AC49" i="3"/>
  <c r="AQ49" i="3" s="1"/>
  <c r="AD49" i="3"/>
  <c r="AR49" i="3" s="1"/>
  <c r="AE49" i="3"/>
  <c r="AS49" i="3" s="1"/>
  <c r="R6" i="3"/>
  <c r="S6" i="3"/>
  <c r="T6" i="3"/>
  <c r="U6" i="3"/>
  <c r="V6" i="3"/>
  <c r="W6" i="3"/>
  <c r="X6" i="3"/>
  <c r="Y6" i="3"/>
  <c r="Z6" i="3"/>
  <c r="AN6" i="3" s="1"/>
  <c r="AA6" i="3"/>
  <c r="AO6" i="3" s="1"/>
  <c r="AB6" i="3"/>
  <c r="AP6" i="3" s="1"/>
  <c r="AC6" i="3"/>
  <c r="AQ6" i="3" s="1"/>
  <c r="AD6" i="3"/>
  <c r="AR6" i="3" s="1"/>
  <c r="AE6" i="3"/>
  <c r="AS6" i="3" s="1"/>
  <c r="R7" i="3"/>
  <c r="S7" i="3"/>
  <c r="T7" i="3"/>
  <c r="U7" i="3"/>
  <c r="V7" i="3"/>
  <c r="W7" i="3"/>
  <c r="X7" i="3"/>
  <c r="Y7" i="3"/>
  <c r="Z7" i="3"/>
  <c r="AN7" i="3" s="1"/>
  <c r="AA7" i="3"/>
  <c r="AO7" i="3" s="1"/>
  <c r="AB7" i="3"/>
  <c r="AP7" i="3" s="1"/>
  <c r="AC7" i="3"/>
  <c r="AQ7" i="3" s="1"/>
  <c r="AD7" i="3"/>
  <c r="AR7" i="3" s="1"/>
  <c r="AE7" i="3"/>
  <c r="AS7" i="3" s="1"/>
  <c r="R8" i="3"/>
  <c r="S8" i="3"/>
  <c r="T8" i="3"/>
  <c r="U8" i="3"/>
  <c r="V8" i="3"/>
  <c r="W8" i="3"/>
  <c r="X8" i="3"/>
  <c r="Y8" i="3"/>
  <c r="Z8" i="3"/>
  <c r="AN8" i="3" s="1"/>
  <c r="AA8" i="3"/>
  <c r="AO8" i="3" s="1"/>
  <c r="AB8" i="3"/>
  <c r="AP8" i="3" s="1"/>
  <c r="AC8" i="3"/>
  <c r="AQ8" i="3" s="1"/>
  <c r="AD8" i="3"/>
  <c r="AR8" i="3" s="1"/>
  <c r="AE8" i="3"/>
  <c r="AS8" i="3" s="1"/>
  <c r="R9" i="3"/>
  <c r="S9" i="3"/>
  <c r="T9" i="3"/>
  <c r="U9" i="3"/>
  <c r="V9" i="3"/>
  <c r="W9" i="3"/>
  <c r="X9" i="3"/>
  <c r="Y9" i="3"/>
  <c r="Z9" i="3"/>
  <c r="AN9" i="3" s="1"/>
  <c r="AA9" i="3"/>
  <c r="AO9" i="3" s="1"/>
  <c r="AB9" i="3"/>
  <c r="AP9" i="3" s="1"/>
  <c r="AC9" i="3"/>
  <c r="AQ9" i="3" s="1"/>
  <c r="AD9" i="3"/>
  <c r="AR9" i="3" s="1"/>
  <c r="AE9" i="3"/>
  <c r="AS9" i="3" s="1"/>
  <c r="R10" i="3"/>
  <c r="S10" i="3"/>
  <c r="T10" i="3"/>
  <c r="U10" i="3"/>
  <c r="V10" i="3"/>
  <c r="W10" i="3"/>
  <c r="X10" i="3"/>
  <c r="Y10" i="3"/>
  <c r="Z10" i="3"/>
  <c r="AN10" i="3" s="1"/>
  <c r="AA10" i="3"/>
  <c r="AO10" i="3" s="1"/>
  <c r="AB10" i="3"/>
  <c r="AP10" i="3" s="1"/>
  <c r="AC10" i="3"/>
  <c r="AQ10" i="3" s="1"/>
  <c r="AD10" i="3"/>
  <c r="AR10" i="3" s="1"/>
  <c r="AE10" i="3"/>
  <c r="AS10" i="3" s="1"/>
  <c r="R11" i="3"/>
  <c r="S11" i="3"/>
  <c r="T11" i="3"/>
  <c r="U11" i="3"/>
  <c r="V11" i="3"/>
  <c r="W11" i="3"/>
  <c r="X11" i="3"/>
  <c r="Y11" i="3"/>
  <c r="Z11" i="3"/>
  <c r="AN11" i="3" s="1"/>
  <c r="AA11" i="3"/>
  <c r="AO11" i="3" s="1"/>
  <c r="AB11" i="3"/>
  <c r="AP11" i="3" s="1"/>
  <c r="AC11" i="3"/>
  <c r="AQ11" i="3" s="1"/>
  <c r="AD11" i="3"/>
  <c r="AR11" i="3" s="1"/>
  <c r="AE11" i="3"/>
  <c r="AS11" i="3" s="1"/>
  <c r="R12" i="3"/>
  <c r="S12" i="3"/>
  <c r="T12" i="3"/>
  <c r="U12" i="3"/>
  <c r="V12" i="3"/>
  <c r="W12" i="3"/>
  <c r="X12" i="3"/>
  <c r="Y12" i="3"/>
  <c r="Z12" i="3"/>
  <c r="AN12" i="3" s="1"/>
  <c r="AA12" i="3"/>
  <c r="AO12" i="3" s="1"/>
  <c r="AB12" i="3"/>
  <c r="AP12" i="3" s="1"/>
  <c r="AC12" i="3"/>
  <c r="AQ12" i="3" s="1"/>
  <c r="AD12" i="3"/>
  <c r="AR12" i="3" s="1"/>
  <c r="AE12" i="3"/>
  <c r="AS12" i="3" s="1"/>
  <c r="R13" i="3"/>
  <c r="S13" i="3"/>
  <c r="T13" i="3"/>
  <c r="U13" i="3"/>
  <c r="V13" i="3"/>
  <c r="W13" i="3"/>
  <c r="X13" i="3"/>
  <c r="Y13" i="3"/>
  <c r="Z13" i="3"/>
  <c r="AN13" i="3" s="1"/>
  <c r="AA13" i="3"/>
  <c r="AO13" i="3" s="1"/>
  <c r="AB13" i="3"/>
  <c r="AP13" i="3" s="1"/>
  <c r="AC13" i="3"/>
  <c r="AQ13" i="3" s="1"/>
  <c r="AD13" i="3"/>
  <c r="AR13" i="3" s="1"/>
  <c r="AE13" i="3"/>
  <c r="AS13" i="3" s="1"/>
  <c r="R14" i="3"/>
  <c r="S14" i="3"/>
  <c r="T14" i="3"/>
  <c r="U14" i="3"/>
  <c r="V14" i="3"/>
  <c r="W14" i="3"/>
  <c r="X14" i="3"/>
  <c r="Y14" i="3"/>
  <c r="Z14" i="3"/>
  <c r="AN14" i="3" s="1"/>
  <c r="AA14" i="3"/>
  <c r="AO14" i="3" s="1"/>
  <c r="AB14" i="3"/>
  <c r="AP14" i="3" s="1"/>
  <c r="AC14" i="3"/>
  <c r="AQ14" i="3" s="1"/>
  <c r="AD14" i="3"/>
  <c r="AR14" i="3" s="1"/>
  <c r="AE14" i="3"/>
  <c r="AS14" i="3" s="1"/>
  <c r="R15" i="3"/>
  <c r="S15" i="3"/>
  <c r="T15" i="3"/>
  <c r="U15" i="3"/>
  <c r="V15" i="3"/>
  <c r="W15" i="3"/>
  <c r="X15" i="3"/>
  <c r="Y15" i="3"/>
  <c r="Z15" i="3"/>
  <c r="AN15" i="3" s="1"/>
  <c r="AA15" i="3"/>
  <c r="AO15" i="3" s="1"/>
  <c r="AB15" i="3"/>
  <c r="AP15" i="3" s="1"/>
  <c r="AC15" i="3"/>
  <c r="AQ15" i="3" s="1"/>
  <c r="AD15" i="3"/>
  <c r="AR15" i="3" s="1"/>
  <c r="AE15" i="3"/>
  <c r="AS15" i="3" s="1"/>
  <c r="R16" i="3"/>
  <c r="S16" i="3"/>
  <c r="T16" i="3"/>
  <c r="U16" i="3"/>
  <c r="V16" i="3"/>
  <c r="W16" i="3"/>
  <c r="X16" i="3"/>
  <c r="Y16" i="3"/>
  <c r="Z16" i="3"/>
  <c r="AN16" i="3" s="1"/>
  <c r="AA16" i="3"/>
  <c r="AO16" i="3" s="1"/>
  <c r="AB16" i="3"/>
  <c r="AP16" i="3" s="1"/>
  <c r="AC16" i="3"/>
  <c r="AQ16" i="3" s="1"/>
  <c r="AD16" i="3"/>
  <c r="AR16" i="3" s="1"/>
  <c r="AE16" i="3"/>
  <c r="AS16" i="3" s="1"/>
  <c r="R17" i="3"/>
  <c r="S17" i="3"/>
  <c r="T17" i="3"/>
  <c r="U17" i="3"/>
  <c r="V17" i="3"/>
  <c r="W17" i="3"/>
  <c r="X17" i="3"/>
  <c r="Y17" i="3"/>
  <c r="Z17" i="3"/>
  <c r="AN17" i="3" s="1"/>
  <c r="AA17" i="3"/>
  <c r="AO17" i="3" s="1"/>
  <c r="AB17" i="3"/>
  <c r="AP17" i="3" s="1"/>
  <c r="AC17" i="3"/>
  <c r="AQ17" i="3" s="1"/>
  <c r="AD17" i="3"/>
  <c r="AR17" i="3" s="1"/>
  <c r="AE17" i="3"/>
  <c r="AS17" i="3" s="1"/>
  <c r="R18" i="3"/>
  <c r="S18" i="3"/>
  <c r="T18" i="3"/>
  <c r="U18" i="3"/>
  <c r="V18" i="3"/>
  <c r="W18" i="3"/>
  <c r="X18" i="3"/>
  <c r="Y18" i="3"/>
  <c r="Z18" i="3"/>
  <c r="AN18" i="3" s="1"/>
  <c r="AA18" i="3"/>
  <c r="AO18" i="3" s="1"/>
  <c r="AB18" i="3"/>
  <c r="AP18" i="3" s="1"/>
  <c r="AC18" i="3"/>
  <c r="AQ18" i="3" s="1"/>
  <c r="AD18" i="3"/>
  <c r="AR18" i="3" s="1"/>
  <c r="AE18" i="3"/>
  <c r="AS18" i="3" s="1"/>
  <c r="R19" i="3"/>
  <c r="S19" i="3"/>
  <c r="T19" i="3"/>
  <c r="U19" i="3"/>
  <c r="V19" i="3"/>
  <c r="W19" i="3"/>
  <c r="X19" i="3"/>
  <c r="Y19" i="3"/>
  <c r="Z19" i="3"/>
  <c r="AN19" i="3" s="1"/>
  <c r="AA19" i="3"/>
  <c r="AO19" i="3" s="1"/>
  <c r="AB19" i="3"/>
  <c r="AP19" i="3" s="1"/>
  <c r="AC19" i="3"/>
  <c r="AQ19" i="3" s="1"/>
  <c r="AD19" i="3"/>
  <c r="AR19" i="3" s="1"/>
  <c r="AE19" i="3"/>
  <c r="AS19" i="3" s="1"/>
  <c r="R20" i="3"/>
  <c r="S20" i="3"/>
  <c r="T20" i="3"/>
  <c r="U20" i="3"/>
  <c r="V20" i="3"/>
  <c r="W20" i="3"/>
  <c r="X20" i="3"/>
  <c r="Y20" i="3"/>
  <c r="Z20" i="3"/>
  <c r="AN20" i="3" s="1"/>
  <c r="AA20" i="3"/>
  <c r="AO20" i="3" s="1"/>
  <c r="AB20" i="3"/>
  <c r="AP20" i="3" s="1"/>
  <c r="AC20" i="3"/>
  <c r="AQ20" i="3" s="1"/>
  <c r="AD20" i="3"/>
  <c r="AR20" i="3" s="1"/>
  <c r="AE20" i="3"/>
  <c r="AS20" i="3" s="1"/>
  <c r="R21" i="3"/>
  <c r="S21" i="3"/>
  <c r="T21" i="3"/>
  <c r="U21" i="3"/>
  <c r="V21" i="3"/>
  <c r="W21" i="3"/>
  <c r="X21" i="3"/>
  <c r="Y21" i="3"/>
  <c r="Z21" i="3"/>
  <c r="AN21" i="3" s="1"/>
  <c r="AA21" i="3"/>
  <c r="AO21" i="3" s="1"/>
  <c r="AB21" i="3"/>
  <c r="AP21" i="3" s="1"/>
  <c r="AC21" i="3"/>
  <c r="AQ21" i="3" s="1"/>
  <c r="AD21" i="3"/>
  <c r="AR21" i="3" s="1"/>
  <c r="AE21" i="3"/>
  <c r="AS21" i="3" s="1"/>
  <c r="R22" i="3"/>
  <c r="S22" i="3"/>
  <c r="T22" i="3"/>
  <c r="U22" i="3"/>
  <c r="V22" i="3"/>
  <c r="W22" i="3"/>
  <c r="X22" i="3"/>
  <c r="Y22" i="3"/>
  <c r="Z22" i="3"/>
  <c r="AN22" i="3" s="1"/>
  <c r="AA22" i="3"/>
  <c r="AO22" i="3" s="1"/>
  <c r="AB22" i="3"/>
  <c r="AP22" i="3" s="1"/>
  <c r="AC22" i="3"/>
  <c r="AQ22" i="3" s="1"/>
  <c r="AD22" i="3"/>
  <c r="AR22" i="3" s="1"/>
  <c r="AE22" i="3"/>
  <c r="AS22" i="3" s="1"/>
  <c r="R23" i="3"/>
  <c r="S23" i="3"/>
  <c r="T23" i="3"/>
  <c r="U23" i="3"/>
  <c r="V23" i="3"/>
  <c r="W23" i="3"/>
  <c r="X23" i="3"/>
  <c r="Y23" i="3"/>
  <c r="Z23" i="3"/>
  <c r="AN23" i="3" s="1"/>
  <c r="AA23" i="3"/>
  <c r="AO23" i="3" s="1"/>
  <c r="AB23" i="3"/>
  <c r="AP23" i="3" s="1"/>
  <c r="AC23" i="3"/>
  <c r="AQ23" i="3" s="1"/>
  <c r="AD23" i="3"/>
  <c r="AR23" i="3" s="1"/>
  <c r="AE23" i="3"/>
  <c r="AS23" i="3" s="1"/>
  <c r="R24" i="3"/>
  <c r="S24" i="3"/>
  <c r="T24" i="3"/>
  <c r="U24" i="3"/>
  <c r="V24" i="3"/>
  <c r="W24" i="3"/>
  <c r="X24" i="3"/>
  <c r="Y24" i="3"/>
  <c r="Z24" i="3"/>
  <c r="AN24" i="3" s="1"/>
  <c r="AA24" i="3"/>
  <c r="AO24" i="3" s="1"/>
  <c r="AB24" i="3"/>
  <c r="AP24" i="3" s="1"/>
  <c r="AC24" i="3"/>
  <c r="AQ24" i="3" s="1"/>
  <c r="AD24" i="3"/>
  <c r="AR24" i="3" s="1"/>
  <c r="AE24" i="3"/>
  <c r="AS24" i="3" s="1"/>
  <c r="R25" i="3"/>
  <c r="S25" i="3"/>
  <c r="T25" i="3"/>
  <c r="U25" i="3"/>
  <c r="V25" i="3"/>
  <c r="W25" i="3"/>
  <c r="X25" i="3"/>
  <c r="Y25" i="3"/>
  <c r="Z25" i="3"/>
  <c r="AN25" i="3" s="1"/>
  <c r="AA25" i="3"/>
  <c r="AO25" i="3" s="1"/>
  <c r="AB25" i="3"/>
  <c r="AP25" i="3" s="1"/>
  <c r="AC25" i="3"/>
  <c r="AQ25" i="3" s="1"/>
  <c r="AD25" i="3"/>
  <c r="AR25" i="3" s="1"/>
  <c r="AE25" i="3"/>
  <c r="AS25" i="3" s="1"/>
  <c r="R26" i="3"/>
  <c r="S26" i="3"/>
  <c r="T26" i="3"/>
  <c r="U26" i="3"/>
  <c r="V26" i="3"/>
  <c r="W26" i="3"/>
  <c r="X26" i="3"/>
  <c r="Y26" i="3"/>
  <c r="Z26" i="3"/>
  <c r="AN26" i="3" s="1"/>
  <c r="AA26" i="3"/>
  <c r="AO26" i="3" s="1"/>
  <c r="AB26" i="3"/>
  <c r="AP26" i="3" s="1"/>
  <c r="AC26" i="3"/>
  <c r="AQ26" i="3" s="1"/>
  <c r="AD26" i="3"/>
  <c r="AR26" i="3" s="1"/>
  <c r="AE26" i="3"/>
  <c r="AS26" i="3" s="1"/>
  <c r="R27" i="3"/>
  <c r="S27" i="3"/>
  <c r="T27" i="3"/>
  <c r="U27" i="3"/>
  <c r="V27" i="3"/>
  <c r="W27" i="3"/>
  <c r="X27" i="3"/>
  <c r="Y27" i="3"/>
  <c r="Z27" i="3"/>
  <c r="AN27" i="3" s="1"/>
  <c r="AA27" i="3"/>
  <c r="AO27" i="3" s="1"/>
  <c r="AB27" i="3"/>
  <c r="AP27" i="3" s="1"/>
  <c r="AC27" i="3"/>
  <c r="AQ27" i="3" s="1"/>
  <c r="AD27" i="3"/>
  <c r="AR27" i="3" s="1"/>
  <c r="AE27" i="3"/>
  <c r="AS27" i="3" s="1"/>
  <c r="R28" i="3"/>
  <c r="S28" i="3"/>
  <c r="T28" i="3"/>
  <c r="U28" i="3"/>
  <c r="V28" i="3"/>
  <c r="W28" i="3"/>
  <c r="X28" i="3"/>
  <c r="Y28" i="3"/>
  <c r="Z28" i="3"/>
  <c r="AN28" i="3" s="1"/>
  <c r="AA28" i="3"/>
  <c r="AO28" i="3" s="1"/>
  <c r="AB28" i="3"/>
  <c r="AP28" i="3" s="1"/>
  <c r="AC28" i="3"/>
  <c r="AQ28" i="3" s="1"/>
  <c r="AD28" i="3"/>
  <c r="AR28" i="3" s="1"/>
  <c r="AE28" i="3"/>
  <c r="AS28" i="3" s="1"/>
  <c r="R29" i="3"/>
  <c r="S29" i="3"/>
  <c r="T29" i="3"/>
  <c r="U29" i="3"/>
  <c r="V29" i="3"/>
  <c r="W29" i="3"/>
  <c r="X29" i="3"/>
  <c r="Y29" i="3"/>
  <c r="Z29" i="3"/>
  <c r="AN29" i="3" s="1"/>
  <c r="AA29" i="3"/>
  <c r="AO29" i="3" s="1"/>
  <c r="AB29" i="3"/>
  <c r="AP29" i="3" s="1"/>
  <c r="AC29" i="3"/>
  <c r="AQ29" i="3" s="1"/>
  <c r="AD29" i="3"/>
  <c r="AR29" i="3" s="1"/>
  <c r="AE29" i="3"/>
  <c r="AS29" i="3" s="1"/>
  <c r="R30" i="3"/>
  <c r="S30" i="3"/>
  <c r="T30" i="3"/>
  <c r="U30" i="3"/>
  <c r="V30" i="3"/>
  <c r="W30" i="3"/>
  <c r="X30" i="3"/>
  <c r="Y30" i="3"/>
  <c r="Z30" i="3"/>
  <c r="AN30" i="3" s="1"/>
  <c r="AA30" i="3"/>
  <c r="AO30" i="3" s="1"/>
  <c r="AB30" i="3"/>
  <c r="AP30" i="3" s="1"/>
  <c r="AC30" i="3"/>
  <c r="AQ30" i="3" s="1"/>
  <c r="AD30" i="3"/>
  <c r="AR30" i="3" s="1"/>
  <c r="AE30" i="3"/>
  <c r="AS30" i="3" s="1"/>
  <c r="R31" i="3"/>
  <c r="S31" i="3"/>
  <c r="T31" i="3"/>
  <c r="U31" i="3"/>
  <c r="V31" i="3"/>
  <c r="W31" i="3"/>
  <c r="X31" i="3"/>
  <c r="Y31" i="3"/>
  <c r="Z31" i="3"/>
  <c r="AN31" i="3" s="1"/>
  <c r="AA31" i="3"/>
  <c r="AO31" i="3" s="1"/>
  <c r="AB31" i="3"/>
  <c r="AP31" i="3" s="1"/>
  <c r="AC31" i="3"/>
  <c r="AQ31" i="3" s="1"/>
  <c r="AD31" i="3"/>
  <c r="AR31" i="3" s="1"/>
  <c r="AE31" i="3"/>
  <c r="AS31" i="3" s="1"/>
  <c r="R32" i="3"/>
  <c r="S32" i="3"/>
  <c r="T32" i="3"/>
  <c r="U32" i="3"/>
  <c r="V32" i="3"/>
  <c r="W32" i="3"/>
  <c r="X32" i="3"/>
  <c r="Y32" i="3"/>
  <c r="Z32" i="3"/>
  <c r="AN32" i="3" s="1"/>
  <c r="AA32" i="3"/>
  <c r="AO32" i="3" s="1"/>
  <c r="AB32" i="3"/>
  <c r="AP32" i="3" s="1"/>
  <c r="AC32" i="3"/>
  <c r="AQ32" i="3" s="1"/>
  <c r="AD32" i="3"/>
  <c r="AR32" i="3" s="1"/>
  <c r="AE32" i="3"/>
  <c r="AS32" i="3" s="1"/>
  <c r="R33" i="3"/>
  <c r="S33" i="3"/>
  <c r="T33" i="3"/>
  <c r="U33" i="3"/>
  <c r="V33" i="3"/>
  <c r="W33" i="3"/>
  <c r="X33" i="3"/>
  <c r="Y33" i="3"/>
  <c r="Z33" i="3"/>
  <c r="AN33" i="3" s="1"/>
  <c r="AA33" i="3"/>
  <c r="AO33" i="3" s="1"/>
  <c r="AB33" i="3"/>
  <c r="AP33" i="3" s="1"/>
  <c r="AC33" i="3"/>
  <c r="AQ33" i="3" s="1"/>
  <c r="AD33" i="3"/>
  <c r="AR33" i="3" s="1"/>
  <c r="AE33" i="3"/>
  <c r="AS33" i="3" s="1"/>
  <c r="R34" i="3"/>
  <c r="S34" i="3"/>
  <c r="T34" i="3"/>
  <c r="U34" i="3"/>
  <c r="V34" i="3"/>
  <c r="W34" i="3"/>
  <c r="X34" i="3"/>
  <c r="Y34" i="3"/>
  <c r="Z34" i="3"/>
  <c r="AN34" i="3" s="1"/>
  <c r="AA34" i="3"/>
  <c r="AO34" i="3" s="1"/>
  <c r="AB34" i="3"/>
  <c r="AP34" i="3" s="1"/>
  <c r="AC34" i="3"/>
  <c r="AQ34" i="3" s="1"/>
  <c r="AD34" i="3"/>
  <c r="AR34" i="3" s="1"/>
  <c r="AE34" i="3"/>
  <c r="AS34" i="3" s="1"/>
  <c r="R35" i="3"/>
  <c r="S35" i="3"/>
  <c r="T35" i="3"/>
  <c r="U35" i="3"/>
  <c r="V35" i="3"/>
  <c r="W35" i="3"/>
  <c r="X35" i="3"/>
  <c r="Y35" i="3"/>
  <c r="Z35" i="3"/>
  <c r="AN35" i="3" s="1"/>
  <c r="AA35" i="3"/>
  <c r="AO35" i="3" s="1"/>
  <c r="AB35" i="3"/>
  <c r="AP35" i="3" s="1"/>
  <c r="AC35" i="3"/>
  <c r="AQ35" i="3" s="1"/>
  <c r="AD35" i="3"/>
  <c r="AR35" i="3" s="1"/>
  <c r="AE35" i="3"/>
  <c r="AS35" i="3" s="1"/>
  <c r="R36" i="3"/>
  <c r="S36" i="3"/>
  <c r="T36" i="3"/>
  <c r="U36" i="3"/>
  <c r="V36" i="3"/>
  <c r="W36" i="3"/>
  <c r="X36" i="3"/>
  <c r="Y36" i="3"/>
  <c r="Z36" i="3"/>
  <c r="AN36" i="3" s="1"/>
  <c r="AA36" i="3"/>
  <c r="AO36" i="3" s="1"/>
  <c r="AB36" i="3"/>
  <c r="AP36" i="3" s="1"/>
  <c r="AC36" i="3"/>
  <c r="AQ36" i="3" s="1"/>
  <c r="AD36" i="3"/>
  <c r="AR36" i="3" s="1"/>
  <c r="AE36" i="3"/>
  <c r="AS36" i="3" s="1"/>
  <c r="R37" i="3"/>
  <c r="S37" i="3"/>
  <c r="T37" i="3"/>
  <c r="U37" i="3"/>
  <c r="V37" i="3"/>
  <c r="W37" i="3"/>
  <c r="X37" i="3"/>
  <c r="Y37" i="3"/>
  <c r="Z37" i="3"/>
  <c r="AN37" i="3" s="1"/>
  <c r="AA37" i="3"/>
  <c r="AO37" i="3" s="1"/>
  <c r="AB37" i="3"/>
  <c r="AP37" i="3" s="1"/>
  <c r="AC37" i="3"/>
  <c r="AQ37" i="3" s="1"/>
  <c r="AD37" i="3"/>
  <c r="AR37" i="3" s="1"/>
  <c r="AE37" i="3"/>
  <c r="AS37" i="3" s="1"/>
  <c r="R38" i="3"/>
  <c r="S38" i="3"/>
  <c r="T38" i="3"/>
  <c r="U38" i="3"/>
  <c r="V38" i="3"/>
  <c r="W38" i="3"/>
  <c r="X38" i="3"/>
  <c r="Y38" i="3"/>
  <c r="Z38" i="3"/>
  <c r="AN38" i="3" s="1"/>
  <c r="AA38" i="3"/>
  <c r="AO38" i="3" s="1"/>
  <c r="AB38" i="3"/>
  <c r="AP38" i="3" s="1"/>
  <c r="AC38" i="3"/>
  <c r="AQ38" i="3" s="1"/>
  <c r="AD38" i="3"/>
  <c r="AR38" i="3" s="1"/>
  <c r="AE38" i="3"/>
  <c r="AS38" i="3" s="1"/>
  <c r="R39" i="3"/>
  <c r="S39" i="3"/>
  <c r="T39" i="3"/>
  <c r="U39" i="3"/>
  <c r="V39" i="3"/>
  <c r="W39" i="3"/>
  <c r="X39" i="3"/>
  <c r="Y39" i="3"/>
  <c r="Z39" i="3"/>
  <c r="AN39" i="3" s="1"/>
  <c r="AA39" i="3"/>
  <c r="AO39" i="3" s="1"/>
  <c r="AB39" i="3"/>
  <c r="AP39" i="3" s="1"/>
  <c r="AC39" i="3"/>
  <c r="AQ39" i="3" s="1"/>
  <c r="AD39" i="3"/>
  <c r="AR39" i="3" s="1"/>
  <c r="AE39" i="3"/>
  <c r="AS39" i="3" s="1"/>
  <c r="R40" i="3"/>
  <c r="S40" i="3"/>
  <c r="T40" i="3"/>
  <c r="U40" i="3"/>
  <c r="V40" i="3"/>
  <c r="W40" i="3"/>
  <c r="X40" i="3"/>
  <c r="Y40" i="3"/>
  <c r="Z40" i="3"/>
  <c r="AN40" i="3" s="1"/>
  <c r="AA40" i="3"/>
  <c r="AO40" i="3" s="1"/>
  <c r="AB40" i="3"/>
  <c r="AP40" i="3" s="1"/>
  <c r="AC40" i="3"/>
  <c r="AQ40" i="3" s="1"/>
  <c r="AD40" i="3"/>
  <c r="AR40" i="3" s="1"/>
  <c r="AE40" i="3"/>
  <c r="AS40" i="3" s="1"/>
  <c r="R41" i="3"/>
  <c r="AF41" i="3" s="1"/>
  <c r="S41" i="3"/>
  <c r="AG41" i="3" s="1"/>
  <c r="T41" i="3"/>
  <c r="AH41" i="3" s="1"/>
  <c r="U41" i="3"/>
  <c r="AI41" i="3" s="1"/>
  <c r="V41" i="3"/>
  <c r="AJ41" i="3" s="1"/>
  <c r="W41" i="3"/>
  <c r="AK41" i="3" s="1"/>
  <c r="X41" i="3"/>
  <c r="AL41" i="3" s="1"/>
  <c r="Y41" i="3"/>
  <c r="AM41" i="3" s="1"/>
  <c r="Z41" i="3"/>
  <c r="AN41" i="3" s="1"/>
  <c r="AA41" i="3"/>
  <c r="AO41" i="3" s="1"/>
  <c r="AB41" i="3"/>
  <c r="AP41" i="3" s="1"/>
  <c r="AC41" i="3"/>
  <c r="AQ41" i="3" s="1"/>
  <c r="AD41" i="3"/>
  <c r="AR41" i="3" s="1"/>
  <c r="AE41" i="3"/>
  <c r="AS41" i="3" s="1"/>
  <c r="R42" i="3"/>
  <c r="AF42" i="3" s="1"/>
  <c r="S42" i="3"/>
  <c r="AG42" i="3" s="1"/>
  <c r="T42" i="3"/>
  <c r="AH42" i="3" s="1"/>
  <c r="U42" i="3"/>
  <c r="AI42" i="3" s="1"/>
  <c r="V42" i="3"/>
  <c r="AJ42" i="3" s="1"/>
  <c r="W42" i="3"/>
  <c r="AK42" i="3" s="1"/>
  <c r="X42" i="3"/>
  <c r="AL42" i="3" s="1"/>
  <c r="Y42" i="3"/>
  <c r="AM42" i="3" s="1"/>
  <c r="Z42" i="3"/>
  <c r="AN42" i="3" s="1"/>
  <c r="AA42" i="3"/>
  <c r="AO42" i="3" s="1"/>
  <c r="AB42" i="3"/>
  <c r="AP42" i="3" s="1"/>
  <c r="AC42" i="3"/>
  <c r="AQ42" i="3" s="1"/>
  <c r="AD42" i="3"/>
  <c r="AR42" i="3" s="1"/>
  <c r="AE42" i="3"/>
  <c r="AS42" i="3" s="1"/>
  <c r="R43" i="3"/>
  <c r="AF43" i="3" s="1"/>
  <c r="S43" i="3"/>
  <c r="AG43" i="3" s="1"/>
  <c r="T43" i="3"/>
  <c r="AH43" i="3" s="1"/>
  <c r="U43" i="3"/>
  <c r="AI43" i="3" s="1"/>
  <c r="V43" i="3"/>
  <c r="AJ43" i="3" s="1"/>
  <c r="W43" i="3"/>
  <c r="AK43" i="3" s="1"/>
  <c r="X43" i="3"/>
  <c r="AL43" i="3" s="1"/>
  <c r="Y43" i="3"/>
  <c r="AM43" i="3" s="1"/>
  <c r="Z43" i="3"/>
  <c r="AN43" i="3" s="1"/>
  <c r="AA43" i="3"/>
  <c r="AO43" i="3" s="1"/>
  <c r="AB43" i="3"/>
  <c r="AP43" i="3" s="1"/>
  <c r="AC43" i="3"/>
  <c r="AQ43" i="3" s="1"/>
  <c r="AD43" i="3"/>
  <c r="AR43" i="3" s="1"/>
  <c r="AE43" i="3"/>
  <c r="AS43" i="3" s="1"/>
  <c r="R44" i="3"/>
  <c r="AF44" i="3" s="1"/>
  <c r="S44" i="3"/>
  <c r="AG44" i="3" s="1"/>
  <c r="T44" i="3"/>
  <c r="AH44" i="3" s="1"/>
  <c r="U44" i="3"/>
  <c r="AI44" i="3" s="1"/>
  <c r="V44" i="3"/>
  <c r="AJ44" i="3" s="1"/>
  <c r="W44" i="3"/>
  <c r="AK44" i="3" s="1"/>
  <c r="X44" i="3"/>
  <c r="AL44" i="3" s="1"/>
  <c r="Y44" i="3"/>
  <c r="AM44" i="3" s="1"/>
  <c r="Z44" i="3"/>
  <c r="AN44" i="3" s="1"/>
  <c r="AA44" i="3"/>
  <c r="AO44" i="3" s="1"/>
  <c r="AB44" i="3"/>
  <c r="AP44" i="3" s="1"/>
  <c r="AC44" i="3"/>
  <c r="AQ44" i="3" s="1"/>
  <c r="AD44" i="3"/>
  <c r="AR44" i="3" s="1"/>
  <c r="AE44" i="3"/>
  <c r="AS44" i="3" s="1"/>
  <c r="R45" i="3"/>
  <c r="AF45" i="3" s="1"/>
  <c r="S45" i="3"/>
  <c r="AG45" i="3" s="1"/>
  <c r="T45" i="3"/>
  <c r="AH45" i="3" s="1"/>
  <c r="U45" i="3"/>
  <c r="AI45" i="3" s="1"/>
  <c r="V45" i="3"/>
  <c r="AJ45" i="3" s="1"/>
  <c r="W45" i="3"/>
  <c r="AK45" i="3" s="1"/>
  <c r="X45" i="3"/>
  <c r="AL45" i="3" s="1"/>
  <c r="Y45" i="3"/>
  <c r="AM45" i="3" s="1"/>
  <c r="Z45" i="3"/>
  <c r="AN45" i="3" s="1"/>
  <c r="AA45" i="3"/>
  <c r="AO45" i="3" s="1"/>
  <c r="AB45" i="3"/>
  <c r="AP45" i="3" s="1"/>
  <c r="AC45" i="3"/>
  <c r="AQ45" i="3" s="1"/>
  <c r="AD45" i="3"/>
  <c r="AR45" i="3" s="1"/>
  <c r="AE45" i="3"/>
  <c r="AS45" i="3" s="1"/>
  <c r="R46" i="3"/>
  <c r="AF46" i="3" s="1"/>
  <c r="S46" i="3"/>
  <c r="AG46" i="3" s="1"/>
  <c r="T46" i="3"/>
  <c r="AH46" i="3" s="1"/>
  <c r="U46" i="3"/>
  <c r="AI46" i="3" s="1"/>
  <c r="V46" i="3"/>
  <c r="AJ46" i="3" s="1"/>
  <c r="W46" i="3"/>
  <c r="AK46" i="3" s="1"/>
  <c r="X46" i="3"/>
  <c r="AL46" i="3" s="1"/>
  <c r="Y46" i="3"/>
  <c r="AM46" i="3" s="1"/>
  <c r="Z46" i="3"/>
  <c r="AN46" i="3" s="1"/>
  <c r="AA46" i="3"/>
  <c r="AO46" i="3" s="1"/>
  <c r="AB46" i="3"/>
  <c r="AP46" i="3" s="1"/>
  <c r="AC46" i="3"/>
  <c r="AQ46" i="3" s="1"/>
  <c r="AD46" i="3"/>
  <c r="AR46" i="3" s="1"/>
  <c r="AE46" i="3"/>
  <c r="AS46" i="3" s="1"/>
  <c r="R47" i="3"/>
  <c r="AF47" i="3" s="1"/>
  <c r="S47" i="3"/>
  <c r="AG47" i="3" s="1"/>
  <c r="T47" i="3"/>
  <c r="AH47" i="3" s="1"/>
  <c r="U47" i="3"/>
  <c r="AI47" i="3" s="1"/>
  <c r="V47" i="3"/>
  <c r="AJ47" i="3" s="1"/>
  <c r="W47" i="3"/>
  <c r="AK47" i="3" s="1"/>
  <c r="X47" i="3"/>
  <c r="AL47" i="3" s="1"/>
  <c r="Y47" i="3"/>
  <c r="AM47" i="3" s="1"/>
  <c r="Z47" i="3"/>
  <c r="AN47" i="3" s="1"/>
  <c r="AA47" i="3"/>
  <c r="AO47" i="3" s="1"/>
  <c r="AB47" i="3"/>
  <c r="AP47" i="3" s="1"/>
  <c r="AC47" i="3"/>
  <c r="AQ47" i="3" s="1"/>
  <c r="AD47" i="3"/>
  <c r="AR47" i="3" s="1"/>
  <c r="AE47" i="3"/>
  <c r="AS47" i="3" s="1"/>
  <c r="R48" i="3"/>
  <c r="AF48" i="3" s="1"/>
  <c r="S48" i="3"/>
  <c r="AG48" i="3" s="1"/>
  <c r="T48" i="3"/>
  <c r="AH48" i="3" s="1"/>
  <c r="U48" i="3"/>
  <c r="AI48" i="3" s="1"/>
  <c r="V48" i="3"/>
  <c r="AJ48" i="3" s="1"/>
  <c r="W48" i="3"/>
  <c r="AK48" i="3" s="1"/>
  <c r="X48" i="3"/>
  <c r="AL48" i="3" s="1"/>
  <c r="Y48" i="3"/>
  <c r="AM48" i="3" s="1"/>
  <c r="Z48" i="3"/>
  <c r="AN48" i="3" s="1"/>
  <c r="AA48" i="3"/>
  <c r="AO48" i="3" s="1"/>
  <c r="AB48" i="3"/>
  <c r="AP48" i="3" s="1"/>
  <c r="AC48" i="3"/>
  <c r="AQ48" i="3" s="1"/>
  <c r="AD48" i="3"/>
  <c r="AR48" i="3" s="1"/>
  <c r="AE48" i="3"/>
  <c r="AS48" i="3" s="1"/>
  <c r="S5" i="3"/>
  <c r="AG5" i="3" s="1"/>
  <c r="T5" i="3"/>
  <c r="AH5" i="3" s="1"/>
  <c r="U5" i="3"/>
  <c r="AI5" i="3" s="1"/>
  <c r="V5" i="3"/>
  <c r="AJ5" i="3" s="1"/>
  <c r="W5" i="3"/>
  <c r="AK5" i="3" s="1"/>
  <c r="X5" i="3"/>
  <c r="AL5" i="3" s="1"/>
  <c r="Y5" i="3"/>
  <c r="AM5" i="3" s="1"/>
  <c r="Z5" i="3"/>
  <c r="AN5" i="3" s="1"/>
  <c r="AA5" i="3"/>
  <c r="AO5" i="3" s="1"/>
  <c r="AB5" i="3"/>
  <c r="AP5" i="3" s="1"/>
  <c r="AC5" i="3"/>
  <c r="AQ5" i="3" s="1"/>
  <c r="AD5" i="3"/>
  <c r="AR5" i="3" s="1"/>
  <c r="AE5" i="3"/>
  <c r="AS5" i="3" s="1"/>
  <c r="R5" i="3"/>
  <c r="AF5" i="3" s="1"/>
  <c r="AO4" i="3"/>
  <c r="AP4" i="3"/>
  <c r="AQ4" i="3"/>
  <c r="AR4" i="3"/>
  <c r="AS4" i="3"/>
  <c r="AN4" i="3"/>
  <c r="AD4" i="3"/>
  <c r="AF3" i="17"/>
  <c r="AG3" i="17"/>
  <c r="AA4" i="3"/>
  <c r="AB4" i="3"/>
  <c r="AC4" i="3"/>
  <c r="Z4" i="3"/>
  <c r="AE3" i="17"/>
  <c r="AD3" i="17"/>
  <c r="AC3" i="17"/>
  <c r="AB3" i="17"/>
  <c r="AA3" i="17"/>
  <c r="C4" i="18"/>
  <c r="AT46" i="3"/>
  <c r="AT47" i="3"/>
  <c r="AT48" i="3"/>
  <c r="AT41" i="3"/>
  <c r="AT42" i="3"/>
  <c r="AT43" i="3"/>
  <c r="AT44" i="3"/>
  <c r="AT45" i="3"/>
  <c r="V41" i="14"/>
  <c r="U4" i="14"/>
  <c r="Y46" i="14"/>
  <c r="W50" i="14"/>
  <c r="V45" i="14"/>
  <c r="X44" i="14"/>
  <c r="U47" i="14"/>
  <c r="U48" i="14"/>
  <c r="G14" i="19"/>
  <c r="G16" i="19"/>
  <c r="S39" i="17"/>
  <c r="R40" i="17"/>
  <c r="G13" i="19"/>
  <c r="R45" i="17"/>
  <c r="G12" i="19"/>
  <c r="S37" i="17"/>
  <c r="G43" i="19"/>
  <c r="G33" i="19"/>
  <c r="R54" i="17"/>
  <c r="G44" i="19"/>
  <c r="G21" i="19"/>
  <c r="G28" i="19"/>
  <c r="G40" i="19"/>
  <c r="R47" i="17"/>
  <c r="S50" i="17"/>
  <c r="G15" i="19"/>
  <c r="G9" i="19"/>
  <c r="G36" i="19"/>
  <c r="R39" i="17"/>
  <c r="G20" i="19"/>
  <c r="G26" i="19"/>
  <c r="S47" i="17"/>
  <c r="G46" i="19"/>
  <c r="S51" i="17"/>
  <c r="R37" i="17"/>
  <c r="R52" i="17"/>
  <c r="G7" i="19"/>
  <c r="R50" i="17"/>
  <c r="G30" i="19"/>
  <c r="G19" i="19"/>
  <c r="G25" i="19"/>
  <c r="R36" i="17"/>
  <c r="S48" i="17"/>
  <c r="R42" i="17"/>
  <c r="S34" i="17"/>
  <c r="R43" i="17"/>
  <c r="R41" i="17"/>
  <c r="G38" i="19"/>
  <c r="G23" i="19"/>
  <c r="R49" i="17"/>
  <c r="G8" i="19"/>
  <c r="S46" i="17"/>
  <c r="R44" i="17"/>
  <c r="G29" i="19"/>
  <c r="S45" i="17"/>
  <c r="G45" i="19"/>
  <c r="G18" i="19"/>
  <c r="G22" i="19"/>
  <c r="G24" i="19"/>
  <c r="G11" i="19"/>
  <c r="S52" i="17"/>
  <c r="G27" i="19"/>
  <c r="G32" i="19"/>
  <c r="S44" i="17"/>
  <c r="G35" i="19"/>
  <c r="R51" i="17"/>
  <c r="R34" i="17"/>
  <c r="G34" i="19"/>
  <c r="G42" i="19"/>
  <c r="R48" i="17"/>
  <c r="S49" i="17"/>
  <c r="R35" i="17"/>
  <c r="R53" i="17"/>
  <c r="G39" i="19"/>
  <c r="G17" i="19"/>
  <c r="G10" i="19"/>
  <c r="S41" i="17"/>
  <c r="R46" i="17"/>
  <c r="S36" i="17"/>
  <c r="G47" i="19"/>
  <c r="R38" i="17"/>
  <c r="S42" i="17"/>
  <c r="S43" i="17"/>
  <c r="S54" i="17"/>
  <c r="G31" i="19"/>
  <c r="S53" i="17"/>
  <c r="G41" i="19"/>
  <c r="S38" i="17"/>
  <c r="G48" i="19"/>
  <c r="G37" i="19"/>
  <c r="S35" i="17"/>
  <c r="S40" i="17"/>
  <c r="C5" i="18" l="1"/>
  <c r="D4" i="18"/>
  <c r="T40" i="14"/>
  <c r="A5" i="9"/>
  <c r="T25" i="14"/>
  <c r="T26" i="14"/>
  <c r="T27" i="14"/>
  <c r="T28" i="14"/>
  <c r="T29" i="14"/>
  <c r="T30" i="14"/>
  <c r="T31" i="14"/>
  <c r="T32" i="14"/>
  <c r="T33" i="14"/>
  <c r="T34" i="14"/>
  <c r="T35" i="14"/>
  <c r="T36" i="14"/>
  <c r="T37" i="14"/>
  <c r="T38" i="14"/>
  <c r="T39" i="14"/>
  <c r="T5" i="14"/>
  <c r="T6" i="14"/>
  <c r="T7" i="14"/>
  <c r="T8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AT6" i="3"/>
  <c r="AT7" i="3"/>
  <c r="AT8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5" i="3"/>
  <c r="AL11" i="3"/>
  <c r="AM11" i="3"/>
  <c r="AL12" i="3"/>
  <c r="AM12" i="3"/>
  <c r="AL13" i="3"/>
  <c r="AM13" i="3"/>
  <c r="AL14" i="3"/>
  <c r="AM14" i="3"/>
  <c r="AL15" i="3"/>
  <c r="AM15" i="3"/>
  <c r="AL16" i="3"/>
  <c r="AM16" i="3"/>
  <c r="AL17" i="3"/>
  <c r="AM17" i="3"/>
  <c r="AL18" i="3"/>
  <c r="AM18" i="3"/>
  <c r="AL19" i="3"/>
  <c r="AM19" i="3"/>
  <c r="AL20" i="3"/>
  <c r="AM20" i="3"/>
  <c r="AL21" i="3"/>
  <c r="AM21" i="3"/>
  <c r="AL22" i="3"/>
  <c r="AM22" i="3"/>
  <c r="AL23" i="3"/>
  <c r="AM23" i="3"/>
  <c r="AL24" i="3"/>
  <c r="AM24" i="3"/>
  <c r="AL25" i="3"/>
  <c r="AM25" i="3"/>
  <c r="AL26" i="3"/>
  <c r="AM26" i="3"/>
  <c r="AL27" i="3"/>
  <c r="AM27" i="3"/>
  <c r="AL28" i="3"/>
  <c r="AM28" i="3"/>
  <c r="AL29" i="3"/>
  <c r="AM29" i="3"/>
  <c r="AL30" i="3"/>
  <c r="AM30" i="3"/>
  <c r="AL31" i="3"/>
  <c r="AM31" i="3"/>
  <c r="AL32" i="3"/>
  <c r="AM32" i="3"/>
  <c r="AL33" i="3"/>
  <c r="AM33" i="3"/>
  <c r="AL34" i="3"/>
  <c r="AM34" i="3"/>
  <c r="AL35" i="3"/>
  <c r="AM35" i="3"/>
  <c r="AL36" i="3"/>
  <c r="AM36" i="3"/>
  <c r="AL37" i="3"/>
  <c r="AM37" i="3"/>
  <c r="AL38" i="3"/>
  <c r="AM38" i="3"/>
  <c r="AL39" i="3"/>
  <c r="AM39" i="3"/>
  <c r="AL40" i="3"/>
  <c r="AM40" i="3"/>
  <c r="AL6" i="3"/>
  <c r="AM6" i="3"/>
  <c r="AL7" i="3"/>
  <c r="AM7" i="3"/>
  <c r="AL8" i="3"/>
  <c r="AM8" i="3"/>
  <c r="AL9" i="3"/>
  <c r="AM9" i="3"/>
  <c r="AL10" i="3"/>
  <c r="AM10" i="3"/>
  <c r="AL4" i="3"/>
  <c r="AM4" i="3"/>
  <c r="Y4" i="3"/>
  <c r="X4" i="3"/>
  <c r="U49" i="14"/>
  <c r="U37" i="14"/>
  <c r="X45" i="14"/>
  <c r="Y42" i="14"/>
  <c r="Y44" i="14"/>
  <c r="Y47" i="14"/>
  <c r="V49" i="14"/>
  <c r="Y45" i="14"/>
  <c r="V43" i="14"/>
  <c r="W43" i="14"/>
  <c r="X4" i="14"/>
  <c r="U6" i="14"/>
  <c r="X41" i="14"/>
  <c r="W48" i="14"/>
  <c r="Y5" i="14"/>
  <c r="Y4" i="14"/>
  <c r="U40" i="14"/>
  <c r="W46" i="14"/>
  <c r="U27" i="14"/>
  <c r="W45" i="14"/>
  <c r="X42" i="14"/>
  <c r="U28" i="14"/>
  <c r="V44" i="14"/>
  <c r="W49" i="14"/>
  <c r="V38" i="14"/>
  <c r="U42" i="14"/>
  <c r="U44" i="14"/>
  <c r="U11" i="14"/>
  <c r="X43" i="14"/>
  <c r="Y49" i="14"/>
  <c r="W42" i="14"/>
  <c r="W41" i="14"/>
  <c r="Y31" i="14"/>
  <c r="W23" i="14"/>
  <c r="U45" i="14"/>
  <c r="U41" i="14"/>
  <c r="V48" i="14"/>
  <c r="U39" i="14"/>
  <c r="U20" i="14"/>
  <c r="Y50" i="14"/>
  <c r="V46" i="14"/>
  <c r="W47" i="14"/>
  <c r="X47" i="14"/>
  <c r="W4" i="14"/>
  <c r="Y43" i="14"/>
  <c r="Y41" i="14"/>
  <c r="V47" i="14"/>
  <c r="X49" i="14"/>
  <c r="U10" i="14"/>
  <c r="Y48" i="14"/>
  <c r="V35" i="14"/>
  <c r="W44" i="14"/>
  <c r="X48" i="14"/>
  <c r="U18" i="14"/>
  <c r="X50" i="14"/>
  <c r="U46" i="14"/>
  <c r="V42" i="14"/>
  <c r="X46" i="14"/>
  <c r="V4" i="14"/>
  <c r="V50" i="14"/>
  <c r="U43" i="14"/>
  <c r="U21" i="14"/>
  <c r="Y25" i="14"/>
  <c r="U22" i="14"/>
  <c r="V26" i="14"/>
  <c r="U8" i="14"/>
  <c r="Y24" i="14"/>
  <c r="Y9" i="14"/>
  <c r="U29" i="14"/>
  <c r="Y30" i="14"/>
  <c r="W12" i="14"/>
  <c r="U32" i="14"/>
  <c r="V13" i="14"/>
  <c r="U33" i="14"/>
  <c r="W34" i="14"/>
  <c r="U15" i="14"/>
  <c r="W36" i="14"/>
  <c r="Y14" i="14"/>
  <c r="U16" i="14"/>
  <c r="U17" i="14"/>
  <c r="AG50" i="17"/>
  <c r="AF49" i="17"/>
  <c r="AG49" i="17"/>
  <c r="AG38" i="17"/>
  <c r="AF36" i="17"/>
  <c r="AF35" i="17"/>
  <c r="AG47" i="17"/>
  <c r="AG42" i="17"/>
  <c r="AG45" i="17"/>
  <c r="AG46" i="17"/>
  <c r="AF52" i="17"/>
  <c r="AF39" i="17"/>
  <c r="AF46" i="17"/>
  <c r="AG54" i="17"/>
  <c r="AG51" i="17"/>
  <c r="AF41" i="17"/>
  <c r="AG34" i="17"/>
  <c r="AG41" i="17"/>
  <c r="AG48" i="17"/>
  <c r="AG36" i="17"/>
  <c r="AF34" i="17"/>
  <c r="AG40" i="17"/>
  <c r="AF45" i="17"/>
  <c r="AF47" i="17"/>
  <c r="AG53" i="17"/>
  <c r="AG37" i="17"/>
  <c r="AF42" i="17"/>
  <c r="AF38" i="17"/>
  <c r="AF40" i="17"/>
  <c r="AF50" i="17"/>
  <c r="AF54" i="17"/>
  <c r="AF48" i="17"/>
  <c r="AF43" i="17"/>
  <c r="AG44" i="17"/>
  <c r="AF37" i="17"/>
  <c r="AG39" i="17"/>
  <c r="AF51" i="17"/>
  <c r="AG52" i="17"/>
  <c r="AF44" i="17"/>
  <c r="AF53" i="17"/>
  <c r="AG35" i="17"/>
  <c r="AG43" i="17"/>
  <c r="C6" i="18" l="1"/>
  <c r="D5" i="18"/>
  <c r="Z3" i="17"/>
  <c r="Z42" i="14"/>
  <c r="Y26" i="14"/>
  <c r="X36" i="14"/>
  <c r="U23" i="14"/>
  <c r="Z45" i="14"/>
  <c r="U19" i="14"/>
  <c r="U24" i="14"/>
  <c r="W26" i="14"/>
  <c r="X14" i="14"/>
  <c r="X15" i="14"/>
  <c r="W17" i="14"/>
  <c r="X7" i="14"/>
  <c r="W38" i="14"/>
  <c r="V30" i="14"/>
  <c r="W8" i="14"/>
  <c r="W7" i="14"/>
  <c r="U35" i="14"/>
  <c r="X5" i="14"/>
  <c r="W24" i="14"/>
  <c r="Z48" i="14"/>
  <c r="U31" i="14"/>
  <c r="X23" i="14"/>
  <c r="V11" i="14"/>
  <c r="U30" i="14"/>
  <c r="U36" i="14"/>
  <c r="Y20" i="14"/>
  <c r="Y21" i="14"/>
  <c r="V32" i="14"/>
  <c r="Y8" i="14"/>
  <c r="V22" i="14"/>
  <c r="V9" i="14"/>
  <c r="W37" i="14"/>
  <c r="V23" i="14"/>
  <c r="Y19" i="14"/>
  <c r="Z50" i="14"/>
  <c r="V40" i="14"/>
  <c r="V36" i="14"/>
  <c r="U25" i="14"/>
  <c r="Y15" i="14"/>
  <c r="X17" i="14"/>
  <c r="X20" i="14"/>
  <c r="Y37" i="14"/>
  <c r="U14" i="14"/>
  <c r="X27" i="14"/>
  <c r="X21" i="14"/>
  <c r="V18" i="14"/>
  <c r="V28" i="14"/>
  <c r="W19" i="14"/>
  <c r="U34" i="14"/>
  <c r="Z43" i="14"/>
  <c r="V16" i="14"/>
  <c r="Z49" i="14"/>
  <c r="V15" i="14"/>
  <c r="W33" i="14"/>
  <c r="X16" i="14"/>
  <c r="Z4" i="14"/>
  <c r="W10" i="14"/>
  <c r="W40" i="14"/>
  <c r="V29" i="14"/>
  <c r="W25" i="14"/>
  <c r="V20" i="14"/>
  <c r="W32" i="14"/>
  <c r="V21" i="14"/>
  <c r="U26" i="14"/>
  <c r="U38" i="14"/>
  <c r="Z46" i="14"/>
  <c r="V31" i="14"/>
  <c r="Y27" i="14"/>
  <c r="Y39" i="14"/>
  <c r="W20" i="14"/>
  <c r="W13" i="14"/>
  <c r="V8" i="14"/>
  <c r="W35" i="14"/>
  <c r="V24" i="14"/>
  <c r="X24" i="14"/>
  <c r="Y12" i="14"/>
  <c r="V5" i="14"/>
  <c r="W31" i="14"/>
  <c r="X39" i="14"/>
  <c r="Y36" i="14"/>
  <c r="X13" i="14"/>
  <c r="Y35" i="14"/>
  <c r="Z41" i="14"/>
  <c r="Z44" i="14"/>
  <c r="U9" i="14"/>
  <c r="V27" i="14"/>
  <c r="W14" i="14"/>
  <c r="Z47" i="14"/>
  <c r="Y10" i="14"/>
  <c r="X31" i="14"/>
  <c r="Y18" i="14"/>
  <c r="U7" i="14"/>
  <c r="C7" i="18" l="1"/>
  <c r="D6" i="18"/>
  <c r="W3" i="17"/>
  <c r="V3" i="17"/>
  <c r="X3" i="17"/>
  <c r="U3" i="17"/>
  <c r="Y3" i="17"/>
  <c r="T3" i="17"/>
  <c r="B2" i="17"/>
  <c r="V7" i="14"/>
  <c r="Z20" i="14"/>
  <c r="X35" i="14"/>
  <c r="X40" i="14"/>
  <c r="W27" i="14"/>
  <c r="Y11" i="14"/>
  <c r="Y34" i="14"/>
  <c r="W6" i="14"/>
  <c r="U5" i="14"/>
  <c r="X6" i="14"/>
  <c r="V6" i="14"/>
  <c r="V34" i="14"/>
  <c r="W9" i="14"/>
  <c r="Y17" i="14"/>
  <c r="V25" i="14"/>
  <c r="X11" i="14"/>
  <c r="Y22" i="14"/>
  <c r="Y23" i="14"/>
  <c r="X10" i="14"/>
  <c r="Y16" i="14"/>
  <c r="Z36" i="14"/>
  <c r="V37" i="14"/>
  <c r="X30" i="14"/>
  <c r="X9" i="14"/>
  <c r="X32" i="14"/>
  <c r="U13" i="14"/>
  <c r="Y33" i="14"/>
  <c r="X29" i="14"/>
  <c r="Y28" i="14"/>
  <c r="X28" i="14"/>
  <c r="Z31" i="14"/>
  <c r="Y13" i="14"/>
  <c r="X8" i="14"/>
  <c r="X18" i="14"/>
  <c r="Y38" i="14"/>
  <c r="X37" i="14"/>
  <c r="X33" i="14"/>
  <c r="W28" i="14"/>
  <c r="V33" i="14"/>
  <c r="Y32" i="14"/>
  <c r="W30" i="14"/>
  <c r="V12" i="14"/>
  <c r="W5" i="14"/>
  <c r="Y7" i="14"/>
  <c r="Y6" i="14"/>
  <c r="X34" i="14"/>
  <c r="X26" i="14"/>
  <c r="W15" i="14"/>
  <c r="Y40" i="14"/>
  <c r="V39" i="14"/>
  <c r="V17" i="14"/>
  <c r="X38" i="14"/>
  <c r="W11" i="14"/>
  <c r="W29" i="14"/>
  <c r="W18" i="14"/>
  <c r="V14" i="14"/>
  <c r="W16" i="14"/>
  <c r="X19" i="14"/>
  <c r="U12" i="14"/>
  <c r="X22" i="14"/>
  <c r="X25" i="14"/>
  <c r="W21" i="14"/>
  <c r="Y29" i="14"/>
  <c r="X12" i="14"/>
  <c r="V19" i="14"/>
  <c r="Z24" i="14"/>
  <c r="V10" i="14"/>
  <c r="W22" i="14"/>
  <c r="W39" i="14"/>
  <c r="AX5" i="17" l="1"/>
  <c r="AJ6" i="17"/>
  <c r="AJ13" i="17" s="1"/>
  <c r="C8" i="18"/>
  <c r="D7" i="18"/>
  <c r="B33" i="17"/>
  <c r="C33" i="17" s="1"/>
  <c r="E33" i="17" s="1"/>
  <c r="B9" i="17"/>
  <c r="C9" i="17" s="1"/>
  <c r="B13" i="17"/>
  <c r="C13" i="17" s="1"/>
  <c r="B17" i="17"/>
  <c r="C17" i="17" s="1"/>
  <c r="B21" i="17"/>
  <c r="C21" i="17" s="1"/>
  <c r="B25" i="17"/>
  <c r="C25" i="17" s="1"/>
  <c r="B29" i="17"/>
  <c r="C29" i="17" s="1"/>
  <c r="B6" i="17"/>
  <c r="C6" i="17" s="1"/>
  <c r="B10" i="17"/>
  <c r="C10" i="17" s="1"/>
  <c r="B14" i="17"/>
  <c r="C14" i="17" s="1"/>
  <c r="B18" i="17"/>
  <c r="C18" i="17" s="1"/>
  <c r="B22" i="17"/>
  <c r="C22" i="17" s="1"/>
  <c r="B26" i="17"/>
  <c r="C26" i="17" s="1"/>
  <c r="B30" i="17"/>
  <c r="C30" i="17" s="1"/>
  <c r="B7" i="17"/>
  <c r="C7" i="17" s="1"/>
  <c r="B11" i="17"/>
  <c r="C11" i="17" s="1"/>
  <c r="B15" i="17"/>
  <c r="C15" i="17" s="1"/>
  <c r="B19" i="17"/>
  <c r="C19" i="17" s="1"/>
  <c r="B23" i="17"/>
  <c r="C23" i="17" s="1"/>
  <c r="B27" i="17"/>
  <c r="C27" i="17" s="1"/>
  <c r="B31" i="17"/>
  <c r="C31" i="17" s="1"/>
  <c r="B5" i="17"/>
  <c r="C5" i="17" s="1"/>
  <c r="B8" i="17"/>
  <c r="C8" i="17" s="1"/>
  <c r="B12" i="17"/>
  <c r="C12" i="17" s="1"/>
  <c r="B16" i="17"/>
  <c r="C16" i="17" s="1"/>
  <c r="B20" i="17"/>
  <c r="C20" i="17" s="1"/>
  <c r="B24" i="17"/>
  <c r="C24" i="17" s="1"/>
  <c r="B28" i="17"/>
  <c r="C28" i="17" s="1"/>
  <c r="B32" i="17"/>
  <c r="C32" i="17" s="1"/>
  <c r="B4" i="17"/>
  <c r="Z22" i="14"/>
  <c r="Z39" i="14"/>
  <c r="Z26" i="14"/>
  <c r="Z19" i="14"/>
  <c r="Z35" i="14"/>
  <c r="Z12" i="14"/>
  <c r="Z30" i="14"/>
  <c r="Z27" i="14"/>
  <c r="Z10" i="14"/>
  <c r="Z32" i="14"/>
  <c r="Z6" i="14"/>
  <c r="Z40" i="14"/>
  <c r="Z37" i="14"/>
  <c r="Z5" i="14"/>
  <c r="Z13" i="14"/>
  <c r="Z14" i="14"/>
  <c r="Z16" i="14"/>
  <c r="Z9" i="14"/>
  <c r="Z11" i="14"/>
  <c r="Z38" i="14"/>
  <c r="Z25" i="14"/>
  <c r="Z28" i="14"/>
  <c r="Z15" i="14"/>
  <c r="Z23" i="14"/>
  <c r="Z18" i="14"/>
  <c r="Z21" i="14"/>
  <c r="Z29" i="14"/>
  <c r="Z17" i="14"/>
  <c r="Z33" i="14"/>
  <c r="Z34" i="14"/>
  <c r="Z7" i="14"/>
  <c r="Z8" i="14"/>
  <c r="S33" i="17"/>
  <c r="R33" i="17"/>
  <c r="AX6" i="17" l="1"/>
  <c r="AY5" i="17"/>
  <c r="E24" i="17"/>
  <c r="D24" i="17"/>
  <c r="E23" i="17"/>
  <c r="D23" i="17"/>
  <c r="D13" i="17"/>
  <c r="E13" i="17"/>
  <c r="D5" i="17"/>
  <c r="E5" i="17"/>
  <c r="E30" i="17"/>
  <c r="D30" i="17"/>
  <c r="E14" i="17"/>
  <c r="D14" i="17"/>
  <c r="E25" i="17"/>
  <c r="D25" i="17"/>
  <c r="E9" i="17"/>
  <c r="D9" i="17"/>
  <c r="E8" i="17"/>
  <c r="D8" i="17"/>
  <c r="E18" i="17"/>
  <c r="D18" i="17"/>
  <c r="E29" i="17"/>
  <c r="D29" i="17"/>
  <c r="E20" i="17"/>
  <c r="D20" i="17"/>
  <c r="E16" i="17"/>
  <c r="D16" i="17"/>
  <c r="D15" i="17"/>
  <c r="E15" i="17"/>
  <c r="E26" i="17"/>
  <c r="D26" i="17"/>
  <c r="E21" i="17"/>
  <c r="D21" i="17"/>
  <c r="E7" i="17"/>
  <c r="D7" i="17"/>
  <c r="E19" i="17"/>
  <c r="D19" i="17"/>
  <c r="E32" i="17"/>
  <c r="D32" i="17"/>
  <c r="D31" i="17"/>
  <c r="E31" i="17"/>
  <c r="E10" i="17"/>
  <c r="D10" i="17"/>
  <c r="E28" i="17"/>
  <c r="D28" i="17"/>
  <c r="E12" i="17"/>
  <c r="D12" i="17"/>
  <c r="E27" i="17"/>
  <c r="D27" i="17"/>
  <c r="D11" i="17"/>
  <c r="E11" i="17"/>
  <c r="E22" i="17"/>
  <c r="D22" i="17"/>
  <c r="E6" i="17"/>
  <c r="D6" i="17"/>
  <c r="E17" i="17"/>
  <c r="D17" i="17"/>
  <c r="C9" i="18"/>
  <c r="D8" i="18"/>
  <c r="AK13" i="17"/>
  <c r="AJ20" i="17"/>
  <c r="C4" i="17"/>
  <c r="AZ5" i="17"/>
  <c r="AK6" i="17"/>
  <c r="H5" i="17"/>
  <c r="F5" i="17"/>
  <c r="AY6" i="17" l="1"/>
  <c r="E4" i="17"/>
  <c r="AX2" i="17" s="1"/>
  <c r="D4" i="17"/>
  <c r="C10" i="18"/>
  <c r="D9" i="18"/>
  <c r="AK20" i="17"/>
  <c r="AJ27" i="17"/>
  <c r="BA5" i="17"/>
  <c r="AZ6" i="17"/>
  <c r="AY2" i="17"/>
  <c r="AY1" i="17"/>
  <c r="AZ2" i="17"/>
  <c r="AZ1" i="17"/>
  <c r="B5" i="9"/>
  <c r="AG6" i="3"/>
  <c r="AG7" i="3"/>
  <c r="AF6" i="3"/>
  <c r="AH6" i="3"/>
  <c r="AI6" i="3"/>
  <c r="AJ6" i="3"/>
  <c r="AK6" i="3"/>
  <c r="AF7" i="3"/>
  <c r="AH7" i="3"/>
  <c r="AI7" i="3"/>
  <c r="AJ7" i="3"/>
  <c r="AK7" i="3"/>
  <c r="AF8" i="3"/>
  <c r="AG8" i="3"/>
  <c r="AH8" i="3"/>
  <c r="AI8" i="3"/>
  <c r="AJ8" i="3"/>
  <c r="AK8" i="3"/>
  <c r="AF9" i="3"/>
  <c r="AG9" i="3"/>
  <c r="AH9" i="3"/>
  <c r="AI9" i="3"/>
  <c r="AJ9" i="3"/>
  <c r="AK9" i="3"/>
  <c r="AF10" i="3"/>
  <c r="AG10" i="3"/>
  <c r="AH10" i="3"/>
  <c r="AI10" i="3"/>
  <c r="AJ10" i="3"/>
  <c r="AK10" i="3"/>
  <c r="AF11" i="3"/>
  <c r="AG11" i="3"/>
  <c r="AH11" i="3"/>
  <c r="AI11" i="3"/>
  <c r="AJ11" i="3"/>
  <c r="AK11" i="3"/>
  <c r="AF12" i="3"/>
  <c r="AG12" i="3"/>
  <c r="AH12" i="3"/>
  <c r="AI12" i="3"/>
  <c r="AJ12" i="3"/>
  <c r="AK12" i="3"/>
  <c r="AF13" i="3"/>
  <c r="AG13" i="3"/>
  <c r="AH13" i="3"/>
  <c r="AI13" i="3"/>
  <c r="AJ13" i="3"/>
  <c r="AK13" i="3"/>
  <c r="AF14" i="3"/>
  <c r="AG14" i="3"/>
  <c r="AH14" i="3"/>
  <c r="AI14" i="3"/>
  <c r="AJ14" i="3"/>
  <c r="AK14" i="3"/>
  <c r="AF15" i="3"/>
  <c r="AG15" i="3"/>
  <c r="AH15" i="3"/>
  <c r="AI15" i="3"/>
  <c r="AJ15" i="3"/>
  <c r="AK15" i="3"/>
  <c r="AF16" i="3"/>
  <c r="AG16" i="3"/>
  <c r="AH16" i="3"/>
  <c r="AI16" i="3"/>
  <c r="AJ16" i="3"/>
  <c r="AK16" i="3"/>
  <c r="AF17" i="3"/>
  <c r="AG17" i="3"/>
  <c r="AH17" i="3"/>
  <c r="AI17" i="3"/>
  <c r="AJ17" i="3"/>
  <c r="AK17" i="3"/>
  <c r="AF18" i="3"/>
  <c r="AG18" i="3"/>
  <c r="AH18" i="3"/>
  <c r="AI18" i="3"/>
  <c r="AJ18" i="3"/>
  <c r="AK18" i="3"/>
  <c r="AF19" i="3"/>
  <c r="AG19" i="3"/>
  <c r="AH19" i="3"/>
  <c r="AI19" i="3"/>
  <c r="AJ19" i="3"/>
  <c r="AK19" i="3"/>
  <c r="AF20" i="3"/>
  <c r="AG20" i="3"/>
  <c r="AH20" i="3"/>
  <c r="AI20" i="3"/>
  <c r="AJ20" i="3"/>
  <c r="AK20" i="3"/>
  <c r="AF21" i="3"/>
  <c r="AG21" i="3"/>
  <c r="AH21" i="3"/>
  <c r="AI21" i="3"/>
  <c r="AJ21" i="3"/>
  <c r="AK21" i="3"/>
  <c r="AF22" i="3"/>
  <c r="AG22" i="3"/>
  <c r="AH22" i="3"/>
  <c r="AI22" i="3"/>
  <c r="AJ22" i="3"/>
  <c r="AK22" i="3"/>
  <c r="AF23" i="3"/>
  <c r="AG23" i="3"/>
  <c r="AH23" i="3"/>
  <c r="AI23" i="3"/>
  <c r="AJ23" i="3"/>
  <c r="AK23" i="3"/>
  <c r="AF24" i="3"/>
  <c r="AG24" i="3"/>
  <c r="AH24" i="3"/>
  <c r="AI24" i="3"/>
  <c r="AJ24" i="3"/>
  <c r="AK24" i="3"/>
  <c r="AF25" i="3"/>
  <c r="AG25" i="3"/>
  <c r="AH25" i="3"/>
  <c r="AI25" i="3"/>
  <c r="AJ25" i="3"/>
  <c r="AK25" i="3"/>
  <c r="AF26" i="3"/>
  <c r="AG26" i="3"/>
  <c r="AH26" i="3"/>
  <c r="AI26" i="3"/>
  <c r="AJ26" i="3"/>
  <c r="AK26" i="3"/>
  <c r="AF27" i="3"/>
  <c r="AG27" i="3"/>
  <c r="AH27" i="3"/>
  <c r="AI27" i="3"/>
  <c r="AJ27" i="3"/>
  <c r="AK27" i="3"/>
  <c r="AF28" i="3"/>
  <c r="AG28" i="3"/>
  <c r="AH28" i="3"/>
  <c r="AI28" i="3"/>
  <c r="AJ28" i="3"/>
  <c r="AK28" i="3"/>
  <c r="AF29" i="3"/>
  <c r="AG29" i="3"/>
  <c r="AH29" i="3"/>
  <c r="AI29" i="3"/>
  <c r="AJ29" i="3"/>
  <c r="AK29" i="3"/>
  <c r="AF30" i="3"/>
  <c r="AG30" i="3"/>
  <c r="AH30" i="3"/>
  <c r="AI30" i="3"/>
  <c r="AJ30" i="3"/>
  <c r="AK30" i="3"/>
  <c r="AF31" i="3"/>
  <c r="AG31" i="3"/>
  <c r="AH31" i="3"/>
  <c r="AI31" i="3"/>
  <c r="AJ31" i="3"/>
  <c r="AK31" i="3"/>
  <c r="AF32" i="3"/>
  <c r="AG32" i="3"/>
  <c r="AH32" i="3"/>
  <c r="AI32" i="3"/>
  <c r="AJ32" i="3"/>
  <c r="AK32" i="3"/>
  <c r="AF33" i="3"/>
  <c r="AG33" i="3"/>
  <c r="AH33" i="3"/>
  <c r="AI33" i="3"/>
  <c r="AJ33" i="3"/>
  <c r="AK33" i="3"/>
  <c r="AF34" i="3"/>
  <c r="AG34" i="3"/>
  <c r="AH34" i="3"/>
  <c r="AI34" i="3"/>
  <c r="AJ34" i="3"/>
  <c r="AK34" i="3"/>
  <c r="AF35" i="3"/>
  <c r="AG35" i="3"/>
  <c r="AH35" i="3"/>
  <c r="AI35" i="3"/>
  <c r="AJ35" i="3"/>
  <c r="AK35" i="3"/>
  <c r="AF36" i="3"/>
  <c r="AG36" i="3"/>
  <c r="AH36" i="3"/>
  <c r="AI36" i="3"/>
  <c r="AJ36" i="3"/>
  <c r="AK36" i="3"/>
  <c r="AF37" i="3"/>
  <c r="AG37" i="3"/>
  <c r="AH37" i="3"/>
  <c r="AI37" i="3"/>
  <c r="AJ37" i="3"/>
  <c r="AK37" i="3"/>
  <c r="AF38" i="3"/>
  <c r="AG38" i="3"/>
  <c r="AH38" i="3"/>
  <c r="AI38" i="3"/>
  <c r="AJ38" i="3"/>
  <c r="AK38" i="3"/>
  <c r="AF39" i="3"/>
  <c r="AG39" i="3"/>
  <c r="AH39" i="3"/>
  <c r="AI39" i="3"/>
  <c r="AJ39" i="3"/>
  <c r="AK39" i="3"/>
  <c r="AF40" i="3"/>
  <c r="AG40" i="3"/>
  <c r="AH40" i="3"/>
  <c r="AI40" i="3"/>
  <c r="AJ40" i="3"/>
  <c r="AK40" i="3"/>
  <c r="AG4" i="3"/>
  <c r="AH4" i="3"/>
  <c r="AI4" i="3"/>
  <c r="AJ4" i="3"/>
  <c r="AK4" i="3"/>
  <c r="AF4" i="3"/>
  <c r="W4" i="3"/>
  <c r="R4" i="3"/>
  <c r="S4" i="3"/>
  <c r="T4" i="3"/>
  <c r="U4" i="3"/>
  <c r="V4" i="3"/>
  <c r="AZ54" i="17"/>
  <c r="AZ52" i="17"/>
  <c r="R4" i="17"/>
  <c r="AY52" i="17"/>
  <c r="AY54" i="17"/>
  <c r="Q4" i="17"/>
  <c r="AZ55" i="17"/>
  <c r="AZ53" i="17"/>
  <c r="AY55" i="17"/>
  <c r="F4" i="17"/>
  <c r="S4" i="17"/>
  <c r="AY53" i="17"/>
  <c r="BA2" i="17" l="1"/>
  <c r="BC60" i="3"/>
  <c r="BD60" i="3" s="1"/>
  <c r="BE54" i="3"/>
  <c r="BF54" i="3" s="1"/>
  <c r="AU63" i="3"/>
  <c r="AV63" i="3" s="1"/>
  <c r="BC61" i="3"/>
  <c r="BD61" i="3" s="1"/>
  <c r="BC57" i="3"/>
  <c r="BD57" i="3" s="1"/>
  <c r="BC59" i="3"/>
  <c r="BD59" i="3" s="1"/>
  <c r="BC51" i="3"/>
  <c r="BD51" i="3" s="1"/>
  <c r="BC58" i="3"/>
  <c r="BD58" i="3" s="1"/>
  <c r="BE55" i="3"/>
  <c r="BF55" i="3" s="1"/>
  <c r="BC52" i="3"/>
  <c r="BD52" i="3" s="1"/>
  <c r="BE56" i="3"/>
  <c r="BF56" i="3" s="1"/>
  <c r="AW50" i="3"/>
  <c r="AX50" i="3" s="1"/>
  <c r="AU62" i="3"/>
  <c r="AV62" i="3" s="1"/>
  <c r="BC53" i="3"/>
  <c r="BD53" i="3" s="1"/>
  <c r="AW58" i="3"/>
  <c r="AX58" i="3" s="1"/>
  <c r="AU44" i="3"/>
  <c r="AV44" i="3" s="1"/>
  <c r="AY61" i="3"/>
  <c r="AZ61" i="3" s="1"/>
  <c r="AY54" i="3"/>
  <c r="AZ54" i="3" s="1"/>
  <c r="AU52" i="3"/>
  <c r="AV52" i="3" s="1"/>
  <c r="AU53" i="3"/>
  <c r="AV53" i="3" s="1"/>
  <c r="AY56" i="3"/>
  <c r="AZ56" i="3" s="1"/>
  <c r="BA50" i="3"/>
  <c r="BB50" i="3" s="1"/>
  <c r="AY63" i="3"/>
  <c r="AZ63" i="3" s="1"/>
  <c r="AY62" i="3"/>
  <c r="AZ62" i="3" s="1"/>
  <c r="AU60" i="3"/>
  <c r="AV60" i="3" s="1"/>
  <c r="AW57" i="3"/>
  <c r="AX57" i="3" s="1"/>
  <c r="AW59" i="3"/>
  <c r="AX59" i="3" s="1"/>
  <c r="AY55" i="3"/>
  <c r="AZ55" i="3" s="1"/>
  <c r="AW51" i="3"/>
  <c r="AX51" i="3" s="1"/>
  <c r="BC56" i="3"/>
  <c r="BD56" i="3" s="1"/>
  <c r="BE50" i="3"/>
  <c r="BF50" i="3" s="1"/>
  <c r="BC62" i="3"/>
  <c r="BD62" i="3" s="1"/>
  <c r="BA53" i="3"/>
  <c r="BB53" i="3" s="1"/>
  <c r="BA58" i="3"/>
  <c r="BB58" i="3" s="1"/>
  <c r="BA60" i="3"/>
  <c r="BB60" i="3" s="1"/>
  <c r="BC63" i="3"/>
  <c r="BD63" i="3" s="1"/>
  <c r="BA61" i="3"/>
  <c r="BB61" i="3" s="1"/>
  <c r="BA57" i="3"/>
  <c r="BB57" i="3" s="1"/>
  <c r="BA59" i="3"/>
  <c r="BB59" i="3" s="1"/>
  <c r="BC55" i="3"/>
  <c r="BD55" i="3" s="1"/>
  <c r="BA51" i="3"/>
  <c r="BB51" i="3" s="1"/>
  <c r="BC54" i="3"/>
  <c r="BD54" i="3" s="1"/>
  <c r="BA52" i="3"/>
  <c r="BB52" i="3" s="1"/>
  <c r="BE61" i="3"/>
  <c r="BF61" i="3" s="1"/>
  <c r="BE57" i="3"/>
  <c r="BF57" i="3" s="1"/>
  <c r="BE59" i="3"/>
  <c r="BF59" i="3" s="1"/>
  <c r="BE51" i="3"/>
  <c r="BF51" i="3" s="1"/>
  <c r="BE58" i="3"/>
  <c r="BF58" i="3" s="1"/>
  <c r="AU46" i="3"/>
  <c r="AV46" i="3" s="1"/>
  <c r="BE60" i="3"/>
  <c r="BF60" i="3" s="1"/>
  <c r="AU55" i="3"/>
  <c r="AV55" i="3" s="1"/>
  <c r="AU54" i="3"/>
  <c r="AV54" i="3" s="1"/>
  <c r="BE63" i="3"/>
  <c r="BF63" i="3" s="1"/>
  <c r="BE53" i="3"/>
  <c r="BF53" i="3" s="1"/>
  <c r="AU56" i="3"/>
  <c r="AV56" i="3" s="1"/>
  <c r="AY50" i="3"/>
  <c r="AZ50" i="3" s="1"/>
  <c r="BE52" i="3"/>
  <c r="BF52" i="3" s="1"/>
  <c r="AU45" i="3"/>
  <c r="AV45" i="3" s="1"/>
  <c r="BE62" i="3"/>
  <c r="BF62" i="3" s="1"/>
  <c r="AU43" i="3"/>
  <c r="AV43" i="3" s="1"/>
  <c r="AW52" i="3"/>
  <c r="AX52" i="3" s="1"/>
  <c r="AW60" i="3"/>
  <c r="AX60" i="3" s="1"/>
  <c r="AW63" i="3"/>
  <c r="AX63" i="3" s="1"/>
  <c r="AW55" i="3"/>
  <c r="AX55" i="3" s="1"/>
  <c r="AW62" i="3"/>
  <c r="AX62" i="3" s="1"/>
  <c r="AW56" i="3"/>
  <c r="AX56" i="3" s="1"/>
  <c r="AU47" i="3"/>
  <c r="AV47" i="3" s="1"/>
  <c r="AW61" i="3"/>
  <c r="AX61" i="3" s="1"/>
  <c r="AY53" i="3"/>
  <c r="AZ53" i="3" s="1"/>
  <c r="AW54" i="3"/>
  <c r="AX54" i="3" s="1"/>
  <c r="AU57" i="3"/>
  <c r="AV57" i="3" s="1"/>
  <c r="AU59" i="3"/>
  <c r="AV59" i="3" s="1"/>
  <c r="AU51" i="3"/>
  <c r="AV51" i="3" s="1"/>
  <c r="AU58" i="3"/>
  <c r="AV58" i="3" s="1"/>
  <c r="AU50" i="3"/>
  <c r="AV50" i="3" s="1"/>
  <c r="BA62" i="3"/>
  <c r="BB62" i="3" s="1"/>
  <c r="AY57" i="3"/>
  <c r="AZ57" i="3" s="1"/>
  <c r="AW53" i="3"/>
  <c r="AX53" i="3" s="1"/>
  <c r="AY59" i="3"/>
  <c r="AZ59" i="3" s="1"/>
  <c r="AY51" i="3"/>
  <c r="AZ51" i="3" s="1"/>
  <c r="BA63" i="3"/>
  <c r="BB63" i="3" s="1"/>
  <c r="AY60" i="3"/>
  <c r="AZ60" i="3" s="1"/>
  <c r="BA55" i="3"/>
  <c r="BB55" i="3" s="1"/>
  <c r="BC50" i="3"/>
  <c r="BD50" i="3" s="1"/>
  <c r="BA54" i="3"/>
  <c r="BB54" i="3" s="1"/>
  <c r="AY58" i="3"/>
  <c r="AZ58" i="3" s="1"/>
  <c r="AU61" i="3"/>
  <c r="AV61" i="3" s="1"/>
  <c r="AY52" i="3"/>
  <c r="AZ52" i="3" s="1"/>
  <c r="BA56" i="3"/>
  <c r="BB56" i="3" s="1"/>
  <c r="AU42" i="3"/>
  <c r="AV42" i="3" s="1"/>
  <c r="C11" i="18"/>
  <c r="D10" i="18"/>
  <c r="AU49" i="3"/>
  <c r="AV49" i="3" s="1"/>
  <c r="AU38" i="3"/>
  <c r="AV38" i="3" s="1"/>
  <c r="BC38" i="3"/>
  <c r="BD38" i="3" s="1"/>
  <c r="AW38" i="3"/>
  <c r="AX38" i="3" s="1"/>
  <c r="BE38" i="3"/>
  <c r="BF38" i="3" s="1"/>
  <c r="BA38" i="3"/>
  <c r="BB38" i="3" s="1"/>
  <c r="AY38" i="3"/>
  <c r="AZ38" i="3" s="1"/>
  <c r="AU36" i="3"/>
  <c r="AV36" i="3" s="1"/>
  <c r="BC36" i="3"/>
  <c r="BD36" i="3" s="1"/>
  <c r="AW36" i="3"/>
  <c r="AX36" i="3" s="1"/>
  <c r="BE36" i="3"/>
  <c r="BF36" i="3" s="1"/>
  <c r="AY36" i="3"/>
  <c r="AZ36" i="3" s="1"/>
  <c r="BA36" i="3"/>
  <c r="BB36" i="3" s="1"/>
  <c r="AU34" i="3"/>
  <c r="AV34" i="3" s="1"/>
  <c r="BC34" i="3"/>
  <c r="BD34" i="3" s="1"/>
  <c r="AW34" i="3"/>
  <c r="AX34" i="3" s="1"/>
  <c r="BE34" i="3"/>
  <c r="BF34" i="3" s="1"/>
  <c r="BA34" i="3"/>
  <c r="BB34" i="3" s="1"/>
  <c r="AY34" i="3"/>
  <c r="AZ34" i="3" s="1"/>
  <c r="BA32" i="3"/>
  <c r="BB32" i="3" s="1"/>
  <c r="AU32" i="3"/>
  <c r="AV32" i="3" s="1"/>
  <c r="AY32" i="3"/>
  <c r="AZ32" i="3" s="1"/>
  <c r="BC32" i="3"/>
  <c r="BD32" i="3" s="1"/>
  <c r="AW32" i="3"/>
  <c r="AX32" i="3" s="1"/>
  <c r="BE32" i="3"/>
  <c r="BF32" i="3" s="1"/>
  <c r="BA24" i="3"/>
  <c r="BB24" i="3" s="1"/>
  <c r="AU24" i="3"/>
  <c r="AV24" i="3" s="1"/>
  <c r="BE24" i="3"/>
  <c r="BF24" i="3" s="1"/>
  <c r="AW24" i="3"/>
  <c r="AX24" i="3" s="1"/>
  <c r="BC24" i="3"/>
  <c r="BD24" i="3" s="1"/>
  <c r="AY24" i="3"/>
  <c r="AZ24" i="3" s="1"/>
  <c r="AY22" i="3"/>
  <c r="AZ22" i="3" s="1"/>
  <c r="BE22" i="3"/>
  <c r="BF22" i="3" s="1"/>
  <c r="BA22" i="3"/>
  <c r="BB22" i="3" s="1"/>
  <c r="BC22" i="3"/>
  <c r="BD22" i="3" s="1"/>
  <c r="AU22" i="3"/>
  <c r="AV22" i="3" s="1"/>
  <c r="AW22" i="3"/>
  <c r="AX22" i="3" s="1"/>
  <c r="AW20" i="3"/>
  <c r="AX20" i="3" s="1"/>
  <c r="BC20" i="3"/>
  <c r="BD20" i="3" s="1"/>
  <c r="AY20" i="3"/>
  <c r="AZ20" i="3" s="1"/>
  <c r="BE20" i="3"/>
  <c r="BF20" i="3" s="1"/>
  <c r="BA20" i="3"/>
  <c r="BB20" i="3" s="1"/>
  <c r="AU20" i="3"/>
  <c r="AV20" i="3" s="1"/>
  <c r="AU18" i="3"/>
  <c r="AV18" i="3" s="1"/>
  <c r="AW18" i="3"/>
  <c r="AX18" i="3" s="1"/>
  <c r="BC18" i="3"/>
  <c r="BD18" i="3" s="1"/>
  <c r="BA18" i="3"/>
  <c r="BB18" i="3" s="1"/>
  <c r="BE18" i="3"/>
  <c r="BF18" i="3" s="1"/>
  <c r="AY18" i="3"/>
  <c r="AZ18" i="3" s="1"/>
  <c r="BA16" i="3"/>
  <c r="BB16" i="3" s="1"/>
  <c r="AU16" i="3"/>
  <c r="AV16" i="3" s="1"/>
  <c r="AY16" i="3"/>
  <c r="AZ16" i="3" s="1"/>
  <c r="BC16" i="3"/>
  <c r="BD16" i="3" s="1"/>
  <c r="AW16" i="3"/>
  <c r="AX16" i="3" s="1"/>
  <c r="BE16" i="3"/>
  <c r="BF16" i="3" s="1"/>
  <c r="AY14" i="3"/>
  <c r="AZ14" i="3" s="1"/>
  <c r="BE14" i="3"/>
  <c r="BF14" i="3" s="1"/>
  <c r="BA14" i="3"/>
  <c r="BB14" i="3" s="1"/>
  <c r="AW14" i="3"/>
  <c r="AX14" i="3" s="1"/>
  <c r="AU14" i="3"/>
  <c r="AV14" i="3" s="1"/>
  <c r="BC14" i="3"/>
  <c r="BD14" i="3" s="1"/>
  <c r="AW12" i="3"/>
  <c r="AX12" i="3" s="1"/>
  <c r="BC12" i="3"/>
  <c r="BD12" i="3" s="1"/>
  <c r="AY12" i="3"/>
  <c r="AZ12" i="3" s="1"/>
  <c r="BE12" i="3"/>
  <c r="BF12" i="3" s="1"/>
  <c r="AU12" i="3"/>
  <c r="AV12" i="3" s="1"/>
  <c r="BA12" i="3"/>
  <c r="BB12" i="3" s="1"/>
  <c r="AU10" i="3"/>
  <c r="AV10" i="3" s="1"/>
  <c r="AW10" i="3"/>
  <c r="AX10" i="3" s="1"/>
  <c r="BC10" i="3"/>
  <c r="BD10" i="3" s="1"/>
  <c r="AY10" i="3"/>
  <c r="AZ10" i="3" s="1"/>
  <c r="BA10" i="3"/>
  <c r="BB10" i="3" s="1"/>
  <c r="BE10" i="3"/>
  <c r="BF10" i="3" s="1"/>
  <c r="BA8" i="3"/>
  <c r="BB8" i="3" s="1"/>
  <c r="AU8" i="3"/>
  <c r="AV8" i="3" s="1"/>
  <c r="BE8" i="3"/>
  <c r="BF8" i="3" s="1"/>
  <c r="AW8" i="3"/>
  <c r="AX8" i="3" s="1"/>
  <c r="AY8" i="3"/>
  <c r="AZ8" i="3" s="1"/>
  <c r="BC8" i="3"/>
  <c r="BD8" i="3" s="1"/>
  <c r="AU40" i="3"/>
  <c r="AV40" i="3" s="1"/>
  <c r="BC40" i="3"/>
  <c r="BD40" i="3" s="1"/>
  <c r="AW40" i="3"/>
  <c r="AX40" i="3" s="1"/>
  <c r="BE40" i="3"/>
  <c r="BF40" i="3" s="1"/>
  <c r="AY40" i="3"/>
  <c r="AZ40" i="3" s="1"/>
  <c r="BA40" i="3"/>
  <c r="BB40" i="3" s="1"/>
  <c r="AY30" i="3"/>
  <c r="AZ30" i="3" s="1"/>
  <c r="BE30" i="3"/>
  <c r="BF30" i="3" s="1"/>
  <c r="BA30" i="3"/>
  <c r="BB30" i="3" s="1"/>
  <c r="AW30" i="3"/>
  <c r="AX30" i="3" s="1"/>
  <c r="BC30" i="3"/>
  <c r="BD30" i="3" s="1"/>
  <c r="AU30" i="3"/>
  <c r="AV30" i="3" s="1"/>
  <c r="AW28" i="3"/>
  <c r="AX28" i="3" s="1"/>
  <c r="BC28" i="3"/>
  <c r="BD28" i="3" s="1"/>
  <c r="AY28" i="3"/>
  <c r="AZ28" i="3" s="1"/>
  <c r="BE28" i="3"/>
  <c r="BF28" i="3" s="1"/>
  <c r="AU28" i="3"/>
  <c r="AV28" i="3" s="1"/>
  <c r="BA28" i="3"/>
  <c r="BB28" i="3" s="1"/>
  <c r="AU26" i="3"/>
  <c r="AV26" i="3" s="1"/>
  <c r="AW26" i="3"/>
  <c r="AX26" i="3" s="1"/>
  <c r="BC26" i="3"/>
  <c r="BD26" i="3" s="1"/>
  <c r="AY26" i="3"/>
  <c r="AZ26" i="3" s="1"/>
  <c r="BE26" i="3"/>
  <c r="BF26" i="3" s="1"/>
  <c r="BA26" i="3"/>
  <c r="BB26" i="3" s="1"/>
  <c r="AW45" i="3"/>
  <c r="AX45" i="3" s="1"/>
  <c r="AW46" i="3"/>
  <c r="AX46" i="3" s="1"/>
  <c r="AW44" i="3"/>
  <c r="AX44" i="3" s="1"/>
  <c r="AW43" i="3"/>
  <c r="AX43" i="3" s="1"/>
  <c r="AW42" i="3"/>
  <c r="AX42" i="3" s="1"/>
  <c r="AW47" i="3"/>
  <c r="AX47" i="3" s="1"/>
  <c r="AY41" i="3"/>
  <c r="AZ41" i="3" s="1"/>
  <c r="AY5" i="3"/>
  <c r="AZ5" i="3" s="1"/>
  <c r="AU48" i="3"/>
  <c r="AV48" i="3" s="1"/>
  <c r="AW49" i="3"/>
  <c r="AX49" i="3" s="1"/>
  <c r="BA42" i="3"/>
  <c r="BB42" i="3" s="1"/>
  <c r="BA47" i="3"/>
  <c r="BB47" i="3" s="1"/>
  <c r="BA45" i="3"/>
  <c r="BB45" i="3" s="1"/>
  <c r="BA43" i="3"/>
  <c r="BB43" i="3" s="1"/>
  <c r="AU5" i="3"/>
  <c r="AV5" i="3" s="1"/>
  <c r="BA49" i="3"/>
  <c r="BB49" i="3" s="1"/>
  <c r="AU41" i="3"/>
  <c r="AV41" i="3" s="1"/>
  <c r="BA44" i="3"/>
  <c r="BB44" i="3" s="1"/>
  <c r="AY48" i="3"/>
  <c r="AZ48" i="3" s="1"/>
  <c r="BA46" i="3"/>
  <c r="BB46" i="3" s="1"/>
  <c r="AY7" i="3"/>
  <c r="AZ7" i="3" s="1"/>
  <c r="AU7" i="3"/>
  <c r="AV7" i="3" s="1"/>
  <c r="BA7" i="3"/>
  <c r="BB7" i="3" s="1"/>
  <c r="BE7" i="3"/>
  <c r="BF7" i="3" s="1"/>
  <c r="AW7" i="3"/>
  <c r="AX7" i="3" s="1"/>
  <c r="BC7" i="3"/>
  <c r="BD7" i="3" s="1"/>
  <c r="AW5" i="3"/>
  <c r="AX5" i="3" s="1"/>
  <c r="BA48" i="3"/>
  <c r="BB48" i="3" s="1"/>
  <c r="BC46" i="3"/>
  <c r="BD46" i="3" s="1"/>
  <c r="BC44" i="3"/>
  <c r="BD44" i="3" s="1"/>
  <c r="BC43" i="3"/>
  <c r="BD43" i="3" s="1"/>
  <c r="BC42" i="3"/>
  <c r="BD42" i="3" s="1"/>
  <c r="BC41" i="3"/>
  <c r="BD41" i="3" s="1"/>
  <c r="BC49" i="3"/>
  <c r="BD49" i="3" s="1"/>
  <c r="BC45" i="3"/>
  <c r="BD45" i="3" s="1"/>
  <c r="BC47" i="3"/>
  <c r="BD47" i="3" s="1"/>
  <c r="BE41" i="3"/>
  <c r="BF41" i="3" s="1"/>
  <c r="BA5" i="3"/>
  <c r="BB5" i="3" s="1"/>
  <c r="BE48" i="3"/>
  <c r="BF48" i="3" s="1"/>
  <c r="BA41" i="3"/>
  <c r="BB41" i="3" s="1"/>
  <c r="AY44" i="3"/>
  <c r="AZ44" i="3" s="1"/>
  <c r="AY42" i="3"/>
  <c r="AZ42" i="3" s="1"/>
  <c r="AY49" i="3"/>
  <c r="AZ49" i="3" s="1"/>
  <c r="AY43" i="3"/>
  <c r="AZ43" i="3" s="1"/>
  <c r="AW48" i="3"/>
  <c r="AX48" i="3" s="1"/>
  <c r="AY45" i="3"/>
  <c r="AZ45" i="3" s="1"/>
  <c r="AY47" i="3"/>
  <c r="AZ47" i="3" s="1"/>
  <c r="AY46" i="3"/>
  <c r="AZ46" i="3" s="1"/>
  <c r="BE5" i="3"/>
  <c r="BF5" i="3" s="1"/>
  <c r="AY39" i="3"/>
  <c r="AZ39" i="3" s="1"/>
  <c r="BA39" i="3"/>
  <c r="BB39" i="3" s="1"/>
  <c r="BE39" i="3"/>
  <c r="BF39" i="3" s="1"/>
  <c r="AU39" i="3"/>
  <c r="AV39" i="3" s="1"/>
  <c r="AW39" i="3"/>
  <c r="AX39" i="3" s="1"/>
  <c r="BC39" i="3"/>
  <c r="BD39" i="3" s="1"/>
  <c r="AY37" i="3"/>
  <c r="AZ37" i="3" s="1"/>
  <c r="BA37" i="3"/>
  <c r="BB37" i="3" s="1"/>
  <c r="AW37" i="3"/>
  <c r="AX37" i="3" s="1"/>
  <c r="BC37" i="3"/>
  <c r="BD37" i="3" s="1"/>
  <c r="BE37" i="3"/>
  <c r="BF37" i="3" s="1"/>
  <c r="AU37" i="3"/>
  <c r="AV37" i="3" s="1"/>
  <c r="AY35" i="3"/>
  <c r="AZ35" i="3" s="1"/>
  <c r="BA35" i="3"/>
  <c r="BB35" i="3" s="1"/>
  <c r="BE35" i="3"/>
  <c r="BF35" i="3" s="1"/>
  <c r="AU35" i="3"/>
  <c r="AV35" i="3" s="1"/>
  <c r="BC35" i="3"/>
  <c r="BD35" i="3" s="1"/>
  <c r="AW35" i="3"/>
  <c r="AX35" i="3" s="1"/>
  <c r="AU33" i="3"/>
  <c r="AV33" i="3" s="1"/>
  <c r="BA33" i="3"/>
  <c r="BB33" i="3" s="1"/>
  <c r="AW33" i="3"/>
  <c r="AX33" i="3" s="1"/>
  <c r="BC33" i="3"/>
  <c r="BD33" i="3" s="1"/>
  <c r="AY33" i="3"/>
  <c r="AZ33" i="3" s="1"/>
  <c r="BE33" i="3"/>
  <c r="BF33" i="3" s="1"/>
  <c r="AY31" i="3"/>
  <c r="AZ31" i="3" s="1"/>
  <c r="AU31" i="3"/>
  <c r="AV31" i="3" s="1"/>
  <c r="BA31" i="3"/>
  <c r="BB31" i="3" s="1"/>
  <c r="BC31" i="3"/>
  <c r="BD31" i="3" s="1"/>
  <c r="AW31" i="3"/>
  <c r="AX31" i="3" s="1"/>
  <c r="BE31" i="3"/>
  <c r="BF31" i="3" s="1"/>
  <c r="BE29" i="3"/>
  <c r="BF29" i="3" s="1"/>
  <c r="AY29" i="3"/>
  <c r="AZ29" i="3" s="1"/>
  <c r="AW29" i="3"/>
  <c r="AX29" i="3" s="1"/>
  <c r="BA29" i="3"/>
  <c r="BB29" i="3" s="1"/>
  <c r="AU29" i="3"/>
  <c r="AV29" i="3" s="1"/>
  <c r="BC29" i="3"/>
  <c r="BD29" i="3" s="1"/>
  <c r="AW27" i="3"/>
  <c r="AX27" i="3" s="1"/>
  <c r="BC27" i="3"/>
  <c r="BD27" i="3" s="1"/>
  <c r="BE27" i="3"/>
  <c r="BF27" i="3" s="1"/>
  <c r="AU27" i="3"/>
  <c r="AV27" i="3" s="1"/>
  <c r="AY27" i="3"/>
  <c r="AZ27" i="3" s="1"/>
  <c r="BA27" i="3"/>
  <c r="BB27" i="3" s="1"/>
  <c r="AU25" i="3"/>
  <c r="AV25" i="3" s="1"/>
  <c r="BA25" i="3"/>
  <c r="BB25" i="3" s="1"/>
  <c r="AW25" i="3"/>
  <c r="AX25" i="3" s="1"/>
  <c r="BC25" i="3"/>
  <c r="BD25" i="3" s="1"/>
  <c r="AY25" i="3"/>
  <c r="AZ25" i="3" s="1"/>
  <c r="BE25" i="3"/>
  <c r="BF25" i="3" s="1"/>
  <c r="AY23" i="3"/>
  <c r="AZ23" i="3" s="1"/>
  <c r="AU23" i="3"/>
  <c r="AV23" i="3" s="1"/>
  <c r="BA23" i="3"/>
  <c r="BB23" i="3" s="1"/>
  <c r="BE23" i="3"/>
  <c r="BF23" i="3" s="1"/>
  <c r="AW23" i="3"/>
  <c r="AX23" i="3" s="1"/>
  <c r="BC23" i="3"/>
  <c r="BD23" i="3" s="1"/>
  <c r="BE21" i="3"/>
  <c r="BF21" i="3" s="1"/>
  <c r="AY21" i="3"/>
  <c r="AZ21" i="3" s="1"/>
  <c r="BC21" i="3"/>
  <c r="BD21" i="3" s="1"/>
  <c r="AU21" i="3"/>
  <c r="AV21" i="3" s="1"/>
  <c r="AW21" i="3"/>
  <c r="AX21" i="3" s="1"/>
  <c r="BA21" i="3"/>
  <c r="BB21" i="3" s="1"/>
  <c r="AW19" i="3"/>
  <c r="AX19" i="3" s="1"/>
  <c r="BC19" i="3"/>
  <c r="BD19" i="3" s="1"/>
  <c r="BE19" i="3"/>
  <c r="BF19" i="3" s="1"/>
  <c r="BA19" i="3"/>
  <c r="BB19" i="3" s="1"/>
  <c r="AU19" i="3"/>
  <c r="AV19" i="3" s="1"/>
  <c r="AY19" i="3"/>
  <c r="AZ19" i="3" s="1"/>
  <c r="AU17" i="3"/>
  <c r="AV17" i="3" s="1"/>
  <c r="BA17" i="3"/>
  <c r="BB17" i="3" s="1"/>
  <c r="AW17" i="3"/>
  <c r="AX17" i="3" s="1"/>
  <c r="BC17" i="3"/>
  <c r="BD17" i="3" s="1"/>
  <c r="AY17" i="3"/>
  <c r="AZ17" i="3" s="1"/>
  <c r="BE17" i="3"/>
  <c r="BF17" i="3" s="1"/>
  <c r="AY15" i="3"/>
  <c r="AZ15" i="3" s="1"/>
  <c r="AU15" i="3"/>
  <c r="AV15" i="3" s="1"/>
  <c r="BA15" i="3"/>
  <c r="BB15" i="3" s="1"/>
  <c r="BC15" i="3"/>
  <c r="BD15" i="3" s="1"/>
  <c r="AW15" i="3"/>
  <c r="AX15" i="3" s="1"/>
  <c r="BE15" i="3"/>
  <c r="BF15" i="3" s="1"/>
  <c r="BE13" i="3"/>
  <c r="BF13" i="3" s="1"/>
  <c r="AY13" i="3"/>
  <c r="AZ13" i="3" s="1"/>
  <c r="AW13" i="3"/>
  <c r="AX13" i="3" s="1"/>
  <c r="BA13" i="3"/>
  <c r="BB13" i="3" s="1"/>
  <c r="BC13" i="3"/>
  <c r="BD13" i="3" s="1"/>
  <c r="AU13" i="3"/>
  <c r="AV13" i="3" s="1"/>
  <c r="AW11" i="3"/>
  <c r="AX11" i="3" s="1"/>
  <c r="BC11" i="3"/>
  <c r="BD11" i="3" s="1"/>
  <c r="BE11" i="3"/>
  <c r="BF11" i="3" s="1"/>
  <c r="AU11" i="3"/>
  <c r="AV11" i="3" s="1"/>
  <c r="AY11" i="3"/>
  <c r="AZ11" i="3" s="1"/>
  <c r="BA11" i="3"/>
  <c r="BB11" i="3" s="1"/>
  <c r="AU9" i="3"/>
  <c r="AV9" i="3" s="1"/>
  <c r="BA9" i="3"/>
  <c r="BB9" i="3" s="1"/>
  <c r="AW9" i="3"/>
  <c r="AX9" i="3" s="1"/>
  <c r="BC9" i="3"/>
  <c r="BD9" i="3" s="1"/>
  <c r="BE9" i="3"/>
  <c r="BF9" i="3" s="1"/>
  <c r="AY9" i="3"/>
  <c r="AZ9" i="3" s="1"/>
  <c r="AY6" i="3"/>
  <c r="AZ6" i="3" s="1"/>
  <c r="BE6" i="3"/>
  <c r="BF6" i="3" s="1"/>
  <c r="AU6" i="3"/>
  <c r="AV6" i="3" s="1"/>
  <c r="BA6" i="3"/>
  <c r="BB6" i="3" s="1"/>
  <c r="BC6" i="3"/>
  <c r="BD6" i="3" s="1"/>
  <c r="AW6" i="3"/>
  <c r="AX6" i="3" s="1"/>
  <c r="BE45" i="3"/>
  <c r="BF45" i="3" s="1"/>
  <c r="AW41" i="3"/>
  <c r="AX41" i="3" s="1"/>
  <c r="BC5" i="3"/>
  <c r="BD5" i="3" s="1"/>
  <c r="BC48" i="3"/>
  <c r="BD48" i="3" s="1"/>
  <c r="BE49" i="3"/>
  <c r="BF49" i="3" s="1"/>
  <c r="BE47" i="3"/>
  <c r="BF47" i="3" s="1"/>
  <c r="BE46" i="3"/>
  <c r="BF46" i="3" s="1"/>
  <c r="BE44" i="3"/>
  <c r="BF44" i="3" s="1"/>
  <c r="BE43" i="3"/>
  <c r="BF43" i="3" s="1"/>
  <c r="BE42" i="3"/>
  <c r="BF42" i="3" s="1"/>
  <c r="AJ34" i="17"/>
  <c r="AJ41" i="17" s="1"/>
  <c r="AJ48" i="17" s="1"/>
  <c r="AK27" i="17"/>
  <c r="AX1" i="17"/>
  <c r="BB5" i="17"/>
  <c r="BA6" i="17"/>
  <c r="BA1" i="17"/>
  <c r="BA52" i="17"/>
  <c r="AX53" i="17"/>
  <c r="AX54" i="17"/>
  <c r="AX52" i="17"/>
  <c r="BA53" i="17"/>
  <c r="BB2" i="17" l="1"/>
  <c r="C12" i="18"/>
  <c r="D11" i="18"/>
  <c r="AK34" i="17"/>
  <c r="BC5" i="17"/>
  <c r="BB6" i="17"/>
  <c r="BB1" i="17"/>
  <c r="BB54" i="17"/>
  <c r="BA54" i="17"/>
  <c r="BA55" i="17"/>
  <c r="AX55" i="17"/>
  <c r="BC2" i="17" l="1"/>
  <c r="C13" i="18"/>
  <c r="D12" i="18"/>
  <c r="AK41" i="17"/>
  <c r="BD5" i="17"/>
  <c r="BC6" i="17"/>
  <c r="BC1" i="17"/>
  <c r="BC54" i="17"/>
  <c r="BB52" i="17"/>
  <c r="BC55" i="17"/>
  <c r="BB53" i="17"/>
  <c r="BC52" i="17"/>
  <c r="BB55" i="17"/>
  <c r="BD1" i="17" l="1"/>
  <c r="AK48" i="17"/>
  <c r="AJ55" i="17"/>
  <c r="C14" i="18"/>
  <c r="D13" i="18"/>
  <c r="BE5" i="17"/>
  <c r="BD6" i="17"/>
  <c r="BD2" i="17"/>
  <c r="BD53" i="17"/>
  <c r="BD52" i="17"/>
  <c r="BC53" i="17"/>
  <c r="AK55" i="17" l="1"/>
  <c r="AJ62" i="17"/>
  <c r="C15" i="18"/>
  <c r="D14" i="18"/>
  <c r="BE1" i="17"/>
  <c r="BE6" i="17"/>
  <c r="BE2" i="17"/>
  <c r="BF5" i="17"/>
  <c r="BE53" i="17"/>
  <c r="BE52" i="17"/>
  <c r="BD54" i="17"/>
  <c r="BE54" i="17"/>
  <c r="BD55" i="17"/>
  <c r="AK62" i="17" l="1"/>
  <c r="AJ69" i="17"/>
  <c r="AJ76" i="17" s="1"/>
  <c r="C16" i="18"/>
  <c r="D15" i="18"/>
  <c r="BF6" i="17"/>
  <c r="BF2" i="17"/>
  <c r="BG5" i="17"/>
  <c r="BF1" i="17"/>
  <c r="BF53" i="17"/>
  <c r="BE55" i="17"/>
  <c r="AK69" i="17" l="1"/>
  <c r="C17" i="18"/>
  <c r="D16" i="18"/>
  <c r="BG6" i="17"/>
  <c r="BG2" i="17"/>
  <c r="BG1" i="17"/>
  <c r="BH5" i="17"/>
  <c r="BF52" i="17"/>
  <c r="BF54" i="17"/>
  <c r="BF55" i="17"/>
  <c r="BG55" i="17"/>
  <c r="BG53" i="17"/>
  <c r="AK76" i="17" l="1"/>
  <c r="AJ83" i="17"/>
  <c r="C18" i="18"/>
  <c r="D17" i="18"/>
  <c r="BH2" i="17"/>
  <c r="BI5" i="17"/>
  <c r="BH1" i="17"/>
  <c r="BH6" i="17"/>
  <c r="BH54" i="17"/>
  <c r="BG54" i="17"/>
  <c r="BG52" i="17"/>
  <c r="BH53" i="17"/>
  <c r="BH52" i="17"/>
  <c r="AK83" i="17" l="1"/>
  <c r="AJ90" i="17"/>
  <c r="C19" i="18"/>
  <c r="D18" i="18"/>
  <c r="BI2" i="17"/>
  <c r="BJ5" i="17"/>
  <c r="BI1" i="17"/>
  <c r="BI6" i="17"/>
  <c r="BH55" i="17"/>
  <c r="BI53" i="17"/>
  <c r="BI55" i="17"/>
  <c r="BI54" i="17"/>
  <c r="AK90" i="17" l="1"/>
  <c r="AJ97" i="17"/>
  <c r="C20" i="18"/>
  <c r="D19" i="18"/>
  <c r="BJ6" i="17"/>
  <c r="BJ1" i="17"/>
  <c r="BK5" i="17"/>
  <c r="BJ2" i="17"/>
  <c r="BI52" i="17"/>
  <c r="AK97" i="17" l="1"/>
  <c r="AJ104" i="17"/>
  <c r="C21" i="18"/>
  <c r="D20" i="18"/>
  <c r="BK1" i="17"/>
  <c r="BL5" i="17"/>
  <c r="BK6" i="17"/>
  <c r="BK2" i="17"/>
  <c r="AK104" i="17" l="1"/>
  <c r="AJ111" i="17"/>
  <c r="C22" i="18"/>
  <c r="D21" i="18"/>
  <c r="BL6" i="17"/>
  <c r="BL2" i="17"/>
  <c r="BM5" i="17"/>
  <c r="BL1" i="17"/>
  <c r="AK111" i="17" l="1"/>
  <c r="AJ118" i="17"/>
  <c r="C23" i="18"/>
  <c r="D22" i="18"/>
  <c r="BM6" i="17"/>
  <c r="BM2" i="17"/>
  <c r="BN5" i="17"/>
  <c r="BM1" i="17"/>
  <c r="R13" i="17"/>
  <c r="BL55" i="17"/>
  <c r="N25" i="17"/>
  <c r="P11" i="17"/>
  <c r="BL53" i="17"/>
  <c r="O19" i="17"/>
  <c r="R12" i="17"/>
  <c r="S5" i="17"/>
  <c r="P29" i="17"/>
  <c r="R8" i="17"/>
  <c r="M22" i="17"/>
  <c r="R10" i="17"/>
  <c r="BJ53" i="17"/>
  <c r="O21" i="17"/>
  <c r="N18" i="17"/>
  <c r="R11" i="17"/>
  <c r="R15" i="17"/>
  <c r="T5" i="17"/>
  <c r="S30" i="17"/>
  <c r="S25" i="17"/>
  <c r="M5" i="17"/>
  <c r="R30" i="17"/>
  <c r="N27" i="17"/>
  <c r="L6" i="17"/>
  <c r="P14" i="17"/>
  <c r="M24" i="17"/>
  <c r="S32" i="17"/>
  <c r="P24" i="17"/>
  <c r="O17" i="17"/>
  <c r="O26" i="17"/>
  <c r="P22" i="17"/>
  <c r="R20" i="17"/>
  <c r="R5" i="17"/>
  <c r="O20" i="17"/>
  <c r="S22" i="17"/>
  <c r="M14" i="17"/>
  <c r="S7" i="17"/>
  <c r="R22" i="17"/>
  <c r="P6" i="17"/>
  <c r="O5" i="17"/>
  <c r="P26" i="17"/>
  <c r="M6" i="17"/>
  <c r="S17" i="17"/>
  <c r="M30" i="17"/>
  <c r="R18" i="17"/>
  <c r="O29" i="17"/>
  <c r="N12" i="17"/>
  <c r="N21" i="17"/>
  <c r="M7" i="17"/>
  <c r="S8" i="17"/>
  <c r="O9" i="17"/>
  <c r="O8" i="17"/>
  <c r="BK52" i="17"/>
  <c r="BJ54" i="17"/>
  <c r="BL52" i="17"/>
  <c r="R14" i="17"/>
  <c r="N13" i="17"/>
  <c r="K6" i="17"/>
  <c r="R17" i="17"/>
  <c r="N9" i="17"/>
  <c r="P12" i="17"/>
  <c r="N29" i="17"/>
  <c r="M13" i="17"/>
  <c r="BM53" i="17"/>
  <c r="M26" i="17"/>
  <c r="N26" i="17"/>
  <c r="S29" i="17"/>
  <c r="R19" i="17"/>
  <c r="S21" i="17"/>
  <c r="S11" i="17"/>
  <c r="P9" i="17"/>
  <c r="T4" i="17"/>
  <c r="M9" i="17"/>
  <c r="R26" i="17"/>
  <c r="M17" i="17"/>
  <c r="M10" i="17"/>
  <c r="P4" i="17"/>
  <c r="S16" i="17"/>
  <c r="N22" i="17"/>
  <c r="R31" i="17"/>
  <c r="M21" i="17"/>
  <c r="BK54" i="17"/>
  <c r="N8" i="17"/>
  <c r="P27" i="17"/>
  <c r="O31" i="17"/>
  <c r="O7" i="17"/>
  <c r="N32" i="17"/>
  <c r="R16" i="17"/>
  <c r="P16" i="17"/>
  <c r="P13" i="17"/>
  <c r="M20" i="17"/>
  <c r="N4" i="17"/>
  <c r="S12" i="17"/>
  <c r="P17" i="17"/>
  <c r="S27" i="17"/>
  <c r="M11" i="17"/>
  <c r="L4" i="17"/>
  <c r="S13" i="17"/>
  <c r="S26" i="17"/>
  <c r="S19" i="17"/>
  <c r="O32" i="17"/>
  <c r="M8" i="17"/>
  <c r="O14" i="17"/>
  <c r="M25" i="17"/>
  <c r="N20" i="17"/>
  <c r="O24" i="17"/>
  <c r="O13" i="17"/>
  <c r="O6" i="17"/>
  <c r="O22" i="17"/>
  <c r="N10" i="17"/>
  <c r="P18" i="17"/>
  <c r="O27" i="17"/>
  <c r="S10" i="17"/>
  <c r="S28" i="17"/>
  <c r="N15" i="17"/>
  <c r="R25" i="17"/>
  <c r="N16" i="17"/>
  <c r="S31" i="17"/>
  <c r="R9" i="17"/>
  <c r="N30" i="17"/>
  <c r="N17" i="17"/>
  <c r="N5" i="17"/>
  <c r="N7" i="17"/>
  <c r="N14" i="17"/>
  <c r="O15" i="17"/>
  <c r="M27" i="17"/>
  <c r="R6" i="17"/>
  <c r="O11" i="17"/>
  <c r="P8" i="17"/>
  <c r="S18" i="17"/>
  <c r="S24" i="17"/>
  <c r="M15" i="17"/>
  <c r="P10" i="17"/>
  <c r="R7" i="17"/>
  <c r="R28" i="17"/>
  <c r="M18" i="17"/>
  <c r="N19" i="17"/>
  <c r="N28" i="17"/>
  <c r="M32" i="17"/>
  <c r="P28" i="17"/>
  <c r="BJ52" i="17"/>
  <c r="R24" i="17"/>
  <c r="S14" i="17"/>
  <c r="M28" i="17"/>
  <c r="P25" i="17"/>
  <c r="O10" i="17"/>
  <c r="O28" i="17"/>
  <c r="AG33" i="17"/>
  <c r="S6" i="17"/>
  <c r="O25" i="17"/>
  <c r="P32" i="17"/>
  <c r="O4" i="17"/>
  <c r="O16" i="17"/>
  <c r="M23" i="17"/>
  <c r="R29" i="17"/>
  <c r="R32" i="17"/>
  <c r="P20" i="17"/>
  <c r="M12" i="17"/>
  <c r="P19" i="17"/>
  <c r="BL54" i="17"/>
  <c r="O30" i="17"/>
  <c r="R23" i="17"/>
  <c r="M31" i="17"/>
  <c r="R27" i="17"/>
  <c r="P7" i="17"/>
  <c r="S15" i="17"/>
  <c r="P31" i="17"/>
  <c r="M16" i="17"/>
  <c r="N23" i="17"/>
  <c r="BK53" i="17"/>
  <c r="BJ55" i="17"/>
  <c r="F6" i="17"/>
  <c r="P5" i="17"/>
  <c r="N11" i="17"/>
  <c r="N31" i="17"/>
  <c r="P23" i="17"/>
  <c r="BK55" i="17"/>
  <c r="P21" i="17"/>
  <c r="N24" i="17"/>
  <c r="P30" i="17"/>
  <c r="N6" i="17"/>
  <c r="S20" i="17"/>
  <c r="AF33" i="17"/>
  <c r="P15" i="17"/>
  <c r="R21" i="17"/>
  <c r="O18" i="17"/>
  <c r="M19" i="17"/>
  <c r="M29" i="17"/>
  <c r="O23" i="17"/>
  <c r="S23" i="17"/>
  <c r="O12" i="17"/>
  <c r="S9" i="17"/>
  <c r="AJ125" i="17" l="1"/>
  <c r="AK118" i="17"/>
  <c r="C24" i="18"/>
  <c r="D23" i="18"/>
  <c r="BO5" i="17"/>
  <c r="BN1" i="17"/>
  <c r="BN6" i="17"/>
  <c r="BN2" i="17"/>
  <c r="AD12" i="17"/>
  <c r="AF14" i="17"/>
  <c r="BM54" i="17"/>
  <c r="AD27" i="17"/>
  <c r="AG19" i="17"/>
  <c r="AC8" i="17"/>
  <c r="AF8" i="17"/>
  <c r="AC20" i="17"/>
  <c r="AG7" i="17"/>
  <c r="AF30" i="17"/>
  <c r="AC27" i="17"/>
  <c r="AF17" i="17"/>
  <c r="AG31" i="17"/>
  <c r="AD20" i="17"/>
  <c r="AF19" i="17"/>
  <c r="AG27" i="17"/>
  <c r="AG25" i="17"/>
  <c r="AD8" i="17"/>
  <c r="AC26" i="17"/>
  <c r="AC6" i="17"/>
  <c r="AC25" i="17"/>
  <c r="AF20" i="17"/>
  <c r="AG24" i="17"/>
  <c r="AD28" i="17"/>
  <c r="AD21" i="17"/>
  <c r="AG8" i="17"/>
  <c r="AD6" i="17"/>
  <c r="AD26" i="17"/>
  <c r="AC31" i="17"/>
  <c r="AG11" i="17"/>
  <c r="AG28" i="17"/>
  <c r="AC22" i="17"/>
  <c r="AD31" i="17"/>
  <c r="AC32" i="17"/>
  <c r="BM52" i="17"/>
  <c r="AF32" i="17"/>
  <c r="AG13" i="17"/>
  <c r="AC21" i="17"/>
  <c r="AG18" i="17"/>
  <c r="AC12" i="17"/>
  <c r="AF28" i="17"/>
  <c r="AD14" i="17"/>
  <c r="AC13" i="17"/>
  <c r="AF31" i="17"/>
  <c r="AF11" i="17"/>
  <c r="AF22" i="17"/>
  <c r="AG32" i="17"/>
  <c r="AF16" i="17"/>
  <c r="AD11" i="17"/>
  <c r="AF27" i="17"/>
  <c r="AF21" i="17"/>
  <c r="AF18" i="17"/>
  <c r="AG14" i="17"/>
  <c r="AC24" i="17"/>
  <c r="AD17" i="17"/>
  <c r="AF25" i="17"/>
  <c r="AC7" i="17"/>
  <c r="AC9" i="17"/>
  <c r="AC18" i="17"/>
  <c r="AF10" i="17"/>
  <c r="AG15" i="17"/>
  <c r="BN55" i="17"/>
  <c r="AF6" i="17"/>
  <c r="AD24" i="17"/>
  <c r="AG21" i="17"/>
  <c r="AG9" i="17"/>
  <c r="AF26" i="17"/>
  <c r="BN53" i="17"/>
  <c r="AF7" i="17"/>
  <c r="AF29" i="17"/>
  <c r="AC16" i="17"/>
  <c r="AG29" i="17"/>
  <c r="AG10" i="17"/>
  <c r="AG16" i="17"/>
  <c r="AD18" i="17"/>
  <c r="AC19" i="17"/>
  <c r="AC5" i="17"/>
  <c r="AD16" i="17"/>
  <c r="AA5" i="17"/>
  <c r="AC15" i="17"/>
  <c r="AC17" i="17"/>
  <c r="BN52" i="17"/>
  <c r="AG22" i="17"/>
  <c r="AD5" i="17"/>
  <c r="AF15" i="17"/>
  <c r="AG26" i="17"/>
  <c r="AD22" i="17"/>
  <c r="AC23" i="17"/>
  <c r="AD15" i="17"/>
  <c r="AD30" i="17"/>
  <c r="BM55" i="17"/>
  <c r="AC10" i="17"/>
  <c r="AF23" i="17"/>
  <c r="AC11" i="17"/>
  <c r="AG12" i="17"/>
  <c r="AF5" i="17"/>
  <c r="AD7" i="17"/>
  <c r="AG5" i="17"/>
  <c r="AD10" i="17"/>
  <c r="AD9" i="17"/>
  <c r="AC30" i="17"/>
  <c r="AF24" i="17"/>
  <c r="AD23" i="17"/>
  <c r="AC14" i="17"/>
  <c r="AD32" i="17"/>
  <c r="AD13" i="17"/>
  <c r="AF9" i="17"/>
  <c r="AC29" i="17"/>
  <c r="AG23" i="17"/>
  <c r="AG20" i="17"/>
  <c r="AC28" i="17"/>
  <c r="BN54" i="17"/>
  <c r="AG6" i="17"/>
  <c r="AG30" i="17"/>
  <c r="AD29" i="17"/>
  <c r="AF12" i="17"/>
  <c r="AG17" i="17"/>
  <c r="AF13" i="17"/>
  <c r="AD19" i="17"/>
  <c r="AD25" i="17"/>
  <c r="AJ132" i="17" l="1"/>
  <c r="AK125" i="17"/>
  <c r="C25" i="18"/>
  <c r="D24" i="18"/>
  <c r="BO2" i="17"/>
  <c r="BO1" i="17"/>
  <c r="BP5" i="17"/>
  <c r="BO6" i="17"/>
  <c r="BO52" i="17"/>
  <c r="AJ139" i="17" l="1"/>
  <c r="AK132" i="17"/>
  <c r="C26" i="18"/>
  <c r="D25" i="18"/>
  <c r="BP1" i="17"/>
  <c r="BP6" i="17"/>
  <c r="BP2" i="17"/>
  <c r="BQ5" i="17"/>
  <c r="BO55" i="17"/>
  <c r="BP54" i="17"/>
  <c r="BP52" i="17"/>
  <c r="BP53" i="17"/>
  <c r="BO54" i="17"/>
  <c r="BO53" i="17"/>
  <c r="AK139" i="17" l="1"/>
  <c r="AJ146" i="17"/>
  <c r="C27" i="18"/>
  <c r="D26" i="18"/>
  <c r="BQ1" i="17"/>
  <c r="BR5" i="17"/>
  <c r="BQ2" i="17"/>
  <c r="BQ6" i="17"/>
  <c r="BP55" i="17"/>
  <c r="BQ54" i="17"/>
  <c r="AK146" i="17" l="1"/>
  <c r="AJ153" i="17"/>
  <c r="C28" i="18"/>
  <c r="D27" i="18"/>
  <c r="BS5" i="17"/>
  <c r="BR1" i="17"/>
  <c r="BR2" i="17"/>
  <c r="BR6" i="17"/>
  <c r="BQ55" i="17"/>
  <c r="BQ52" i="17"/>
  <c r="BQ53" i="17"/>
  <c r="BR54" i="17"/>
  <c r="BR53" i="17"/>
  <c r="AJ160" i="17" l="1"/>
  <c r="AK153" i="17"/>
  <c r="C29" i="18"/>
  <c r="D28" i="18"/>
  <c r="BS1" i="17"/>
  <c r="BS2" i="17"/>
  <c r="BS6" i="17"/>
  <c r="BT5" i="17"/>
  <c r="BS55" i="17"/>
  <c r="BR55" i="17"/>
  <c r="BS53" i="17"/>
  <c r="BR52" i="17"/>
  <c r="AK160" i="17" l="1"/>
  <c r="AJ167" i="17"/>
  <c r="C30" i="18"/>
  <c r="C31" i="18" s="1"/>
  <c r="D31" i="18" s="1"/>
  <c r="D29" i="18"/>
  <c r="BU5" i="17"/>
  <c r="BT6" i="17"/>
  <c r="BT1" i="17"/>
  <c r="BT2" i="17"/>
  <c r="BS54" i="17"/>
  <c r="BT53" i="17"/>
  <c r="BT55" i="17"/>
  <c r="BS52" i="17"/>
  <c r="AJ174" i="17" l="1"/>
  <c r="AK167" i="17"/>
  <c r="D30" i="18"/>
  <c r="BV5" i="17"/>
  <c r="BU2" i="17"/>
  <c r="BU6" i="17"/>
  <c r="BU1" i="17"/>
  <c r="BT52" i="17"/>
  <c r="BU54" i="17"/>
  <c r="BT54" i="17"/>
  <c r="AK174" i="17" l="1"/>
  <c r="AJ181" i="17"/>
  <c r="D1" i="18"/>
  <c r="C5" i="9"/>
  <c r="BV1" i="17"/>
  <c r="BW5" i="17"/>
  <c r="BV6" i="17"/>
  <c r="BV2" i="17"/>
  <c r="BU52" i="17"/>
  <c r="BU55" i="17"/>
  <c r="BV55" i="17"/>
  <c r="BV54" i="17"/>
  <c r="BU53" i="17"/>
  <c r="C1" i="18" l="1"/>
  <c r="AZ4" i="9" s="1"/>
  <c r="B5" i="19"/>
  <c r="AK181" i="17"/>
  <c r="AJ188" i="17"/>
  <c r="BX5" i="17"/>
  <c r="BW6" i="17"/>
  <c r="BW1" i="17"/>
  <c r="BW2" i="17"/>
  <c r="BW54" i="17"/>
  <c r="BV53" i="17"/>
  <c r="BW53" i="17"/>
  <c r="BV52" i="17"/>
  <c r="BW55" i="17"/>
  <c r="BW52" i="17"/>
  <c r="Z4" i="9" l="1"/>
  <c r="AT2" i="3"/>
  <c r="A4" i="9"/>
  <c r="AK188" i="17"/>
  <c r="BY5" i="17"/>
  <c r="BX1" i="17"/>
  <c r="BX2" i="17"/>
  <c r="BX6" i="17"/>
  <c r="BX53" i="17"/>
  <c r="BY6" i="17" l="1"/>
  <c r="BY1" i="17"/>
  <c r="BZ5" i="17"/>
  <c r="J2" i="19" s="1"/>
  <c r="BY2" i="17"/>
  <c r="BX55" i="17"/>
  <c r="BX54" i="17"/>
  <c r="BX52" i="17"/>
  <c r="BY55" i="17"/>
  <c r="BY53" i="17"/>
  <c r="BY54" i="17"/>
  <c r="BY52" i="17"/>
  <c r="H33" i="19" l="1"/>
  <c r="H25" i="19"/>
  <c r="H9" i="19"/>
  <c r="H31" i="19"/>
  <c r="H15" i="19"/>
  <c r="H21" i="19"/>
  <c r="H17" i="19"/>
  <c r="H8" i="19"/>
  <c r="H47" i="19"/>
  <c r="H42" i="19"/>
  <c r="H14" i="19"/>
  <c r="H10" i="19"/>
  <c r="H38" i="19"/>
  <c r="H34" i="19"/>
  <c r="H20" i="19"/>
  <c r="H28" i="19"/>
  <c r="H24" i="19"/>
  <c r="H48" i="19"/>
  <c r="H43" i="19"/>
  <c r="H46" i="19"/>
  <c r="H22" i="19"/>
  <c r="H29" i="19"/>
  <c r="H13" i="19"/>
  <c r="H35" i="19"/>
  <c r="H27" i="19"/>
  <c r="H23" i="19"/>
  <c r="H19" i="19"/>
  <c r="H37" i="19"/>
  <c r="H45" i="19"/>
  <c r="H39" i="19"/>
  <c r="H41" i="19"/>
  <c r="H18" i="19"/>
  <c r="H12" i="19"/>
  <c r="H11" i="19"/>
  <c r="H36" i="19"/>
  <c r="H32" i="19"/>
  <c r="H30" i="19"/>
  <c r="H26" i="19"/>
  <c r="H16" i="19"/>
  <c r="H44" i="19"/>
  <c r="H40" i="19"/>
  <c r="H7" i="19"/>
  <c r="BZ1" i="17"/>
  <c r="BZ6" i="17"/>
  <c r="BZ2" i="17"/>
  <c r="BZ53" i="17"/>
  <c r="BZ55" i="17"/>
  <c r="AI14" i="17" l="1"/>
  <c r="BZ54" i="17"/>
  <c r="BZ52" i="17"/>
  <c r="AI7" i="17" l="1"/>
  <c r="D46" i="19" l="1"/>
  <c r="D44" i="19"/>
  <c r="D48" i="19"/>
  <c r="D45" i="19"/>
  <c r="D47" i="19" l="1"/>
  <c r="D13" i="19" l="1"/>
  <c r="D34" i="19"/>
  <c r="D11" i="19"/>
  <c r="D18" i="19"/>
  <c r="D17" i="19"/>
  <c r="D25" i="19"/>
  <c r="D9" i="19"/>
  <c r="D12" i="19"/>
  <c r="D23" i="19"/>
  <c r="D19" i="19"/>
  <c r="D21" i="19"/>
  <c r="D22" i="19"/>
  <c r="AI26" i="17"/>
  <c r="D38" i="19"/>
  <c r="D40" i="19"/>
  <c r="D41" i="19"/>
  <c r="D20" i="19"/>
  <c r="AI21" i="17"/>
  <c r="D15" i="19"/>
  <c r="D42" i="19"/>
  <c r="D43" i="19"/>
  <c r="D28" i="19"/>
  <c r="D36" i="19"/>
  <c r="D29" i="19"/>
  <c r="AI16" i="17"/>
  <c r="D10" i="19"/>
  <c r="D27" i="19"/>
  <c r="D14" i="19"/>
  <c r="D31" i="19"/>
  <c r="BU16" i="17"/>
  <c r="BD20" i="17"/>
  <c r="I7" i="17"/>
  <c r="H22" i="17"/>
  <c r="BV21" i="17"/>
  <c r="BC26" i="17"/>
  <c r="BE13" i="17"/>
  <c r="BS23" i="17"/>
  <c r="BH32" i="17"/>
  <c r="J15" i="17"/>
  <c r="BJ45" i="17"/>
  <c r="F9" i="17"/>
  <c r="J27" i="19"/>
  <c r="BY42" i="17"/>
  <c r="BQ15" i="17"/>
  <c r="H32" i="17"/>
  <c r="BC19" i="17"/>
  <c r="BV49" i="17"/>
  <c r="BC29" i="17"/>
  <c r="BB31" i="17"/>
  <c r="BN36" i="17"/>
  <c r="BL23" i="17"/>
  <c r="BW18" i="17"/>
  <c r="BE35" i="17"/>
  <c r="BR13" i="17"/>
  <c r="BW21" i="17"/>
  <c r="BO12" i="17"/>
  <c r="BL35" i="17"/>
  <c r="BD16" i="17"/>
  <c r="BN30" i="17"/>
  <c r="BC31" i="17"/>
  <c r="BE9" i="17"/>
  <c r="BH26" i="17"/>
  <c r="BK9" i="17"/>
  <c r="AZ47" i="17"/>
  <c r="BI27" i="17"/>
  <c r="BO30" i="17"/>
  <c r="AX18" i="17"/>
  <c r="BU43" i="17"/>
  <c r="BU15" i="17"/>
  <c r="BD9" i="17"/>
  <c r="BP24" i="17"/>
  <c r="BX9" i="17"/>
  <c r="BS17" i="17"/>
  <c r="BQ17" i="17"/>
  <c r="BH20" i="17"/>
  <c r="BH17" i="17"/>
  <c r="AX17" i="17"/>
  <c r="G10" i="17"/>
  <c r="BW26" i="17"/>
  <c r="BU35" i="17"/>
  <c r="AZ10" i="17"/>
  <c r="BG7" i="17"/>
  <c r="G9" i="17"/>
  <c r="BA8" i="17"/>
  <c r="BJ28" i="17"/>
  <c r="BG35" i="17"/>
  <c r="BA37" i="17"/>
  <c r="BQ33" i="17"/>
  <c r="K30" i="19" a="1"/>
  <c r="BY19" i="17"/>
  <c r="K14" i="17"/>
  <c r="AZ51" i="17"/>
  <c r="BI26" i="17"/>
  <c r="BI22" i="17"/>
  <c r="BK28" i="17"/>
  <c r="BO18" i="17"/>
  <c r="BA20" i="17"/>
  <c r="BJ21" i="17"/>
  <c r="BL25" i="17"/>
  <c r="K13" i="17"/>
  <c r="BW22" i="17"/>
  <c r="AZ43" i="17"/>
  <c r="BO23" i="17"/>
  <c r="BZ7" i="17"/>
  <c r="BS31" i="17"/>
  <c r="L11" i="17"/>
  <c r="BV19" i="17"/>
  <c r="AX12" i="17"/>
  <c r="BC33" i="17"/>
  <c r="BO43" i="17"/>
  <c r="BA36" i="17"/>
  <c r="BU13" i="17"/>
  <c r="BK34" i="17"/>
  <c r="AY40" i="17"/>
  <c r="BK44" i="17"/>
  <c r="F10" i="17"/>
  <c r="AA21" i="17"/>
  <c r="BD37" i="17"/>
  <c r="BG48" i="17"/>
  <c r="BA32" i="17"/>
  <c r="BG25" i="17"/>
  <c r="K41" i="19" a="1"/>
  <c r="BC28" i="17"/>
  <c r="BH49" i="17"/>
  <c r="BF8" i="17"/>
  <c r="BE24" i="17"/>
  <c r="G29" i="17"/>
  <c r="BG34" i="17"/>
  <c r="AX7" i="17"/>
  <c r="BU10" i="17"/>
  <c r="I20" i="17"/>
  <c r="K25" i="19" a="1"/>
  <c r="J11" i="19"/>
  <c r="J14" i="19"/>
  <c r="BQ8" i="17"/>
  <c r="BH13" i="17"/>
  <c r="BA17" i="17"/>
  <c r="AX15" i="17"/>
  <c r="J10" i="19"/>
  <c r="BP40" i="17"/>
  <c r="H27" i="17"/>
  <c r="BL46" i="17"/>
  <c r="BU26" i="17"/>
  <c r="BR22" i="17"/>
  <c r="BK11" i="17"/>
  <c r="L30" i="17"/>
  <c r="BR32" i="17"/>
  <c r="K19" i="19" a="1"/>
  <c r="BW25" i="17"/>
  <c r="G28" i="17"/>
  <c r="BH46" i="17"/>
  <c r="BO36" i="17"/>
  <c r="BZ46" i="17"/>
  <c r="BY7" i="17"/>
  <c r="BL45" i="17"/>
  <c r="BX14" i="17"/>
  <c r="BX21" i="17"/>
  <c r="BP45" i="17"/>
  <c r="H28" i="17"/>
  <c r="AK14" i="17" a="1"/>
  <c r="H7" i="17"/>
  <c r="BS32" i="17"/>
  <c r="BK24" i="17"/>
  <c r="BV41" i="17"/>
  <c r="BI44" i="17"/>
  <c r="K27" i="19" a="1"/>
  <c r="BW31" i="17"/>
  <c r="BB44" i="17"/>
  <c r="BS33" i="17"/>
  <c r="BN34" i="17"/>
  <c r="BR37" i="17"/>
  <c r="AA30" i="17"/>
  <c r="BA28" i="17"/>
  <c r="BP50" i="17"/>
  <c r="BO38" i="17"/>
  <c r="BV46" i="17"/>
  <c r="BN29" i="17"/>
  <c r="BW46" i="17"/>
  <c r="BU24" i="17"/>
  <c r="BT39" i="17"/>
  <c r="BB26" i="17"/>
  <c r="BS27" i="17"/>
  <c r="BB17" i="17"/>
  <c r="J21" i="17"/>
  <c r="BT31" i="17"/>
  <c r="AZ26" i="17"/>
  <c r="AA28" i="17"/>
  <c r="AX40" i="17"/>
  <c r="BT33" i="17"/>
  <c r="BR51" i="17"/>
  <c r="I42" i="19"/>
  <c r="BR48" i="17"/>
  <c r="AA8" i="17"/>
  <c r="BB40" i="17"/>
  <c r="BI25" i="17"/>
  <c r="BB10" i="17"/>
  <c r="BC24" i="17"/>
  <c r="BZ51" i="17"/>
  <c r="Q12" i="17"/>
  <c r="AX9" i="17"/>
  <c r="AZ38" i="17"/>
  <c r="BE47" i="17"/>
  <c r="BP38" i="17"/>
  <c r="BQ23" i="17"/>
  <c r="BJ17" i="17"/>
  <c r="BL43" i="17"/>
  <c r="AZ34" i="17"/>
  <c r="BC46" i="17"/>
  <c r="BD21" i="17"/>
  <c r="J11" i="17"/>
  <c r="BB22" i="17"/>
  <c r="AA27" i="17"/>
  <c r="BW7" i="17"/>
  <c r="BP16" i="17"/>
  <c r="AX10" i="17"/>
  <c r="BB32" i="17"/>
  <c r="BF26" i="17"/>
  <c r="J31" i="17"/>
  <c r="BJ22" i="17"/>
  <c r="BY41" i="17"/>
  <c r="J14" i="17"/>
  <c r="BA15" i="17"/>
  <c r="BG47" i="17"/>
  <c r="K46" i="19" a="1"/>
  <c r="BI38" i="17"/>
  <c r="Q29" i="17"/>
  <c r="BU9" i="17"/>
  <c r="BG31" i="17"/>
  <c r="BB12" i="17"/>
  <c r="BJ10" i="17"/>
  <c r="BP15" i="17"/>
  <c r="AY46" i="17"/>
  <c r="BC15" i="17"/>
  <c r="BE34" i="17"/>
  <c r="BP14" i="17"/>
  <c r="BA33" i="17"/>
  <c r="BL28" i="17"/>
  <c r="F24" i="17"/>
  <c r="BL42" i="17"/>
  <c r="BG9" i="17"/>
  <c r="BD40" i="17"/>
  <c r="BJ27" i="17"/>
  <c r="BX34" i="17"/>
  <c r="BL14" i="17"/>
  <c r="AZ17" i="17"/>
  <c r="BT48" i="17"/>
  <c r="BQ39" i="17"/>
  <c r="AY31" i="17"/>
  <c r="BH51" i="17"/>
  <c r="BV13" i="17"/>
  <c r="BF31" i="17"/>
  <c r="BK41" i="17"/>
  <c r="BU48" i="17"/>
  <c r="H17" i="17"/>
  <c r="BC21" i="17"/>
  <c r="BV27" i="17"/>
  <c r="H14" i="17"/>
  <c r="BD17" i="17"/>
  <c r="BR26" i="17"/>
  <c r="BE48" i="17"/>
  <c r="V5" i="17"/>
  <c r="BB47" i="17"/>
  <c r="BI18" i="17"/>
  <c r="BE10" i="17"/>
  <c r="BS12" i="17"/>
  <c r="J48" i="19"/>
  <c r="Q13" i="17"/>
  <c r="J26" i="17"/>
  <c r="BC27" i="17"/>
  <c r="J44" i="19"/>
  <c r="AZ12" i="17"/>
  <c r="BN14" i="17"/>
  <c r="I12" i="17"/>
  <c r="BN24" i="17"/>
  <c r="BA48" i="17"/>
  <c r="BR19" i="17"/>
  <c r="AZ37" i="17"/>
  <c r="BE20" i="17"/>
  <c r="I27" i="17"/>
  <c r="K31" i="19" a="1"/>
  <c r="BK38" i="17"/>
  <c r="F25" i="17"/>
  <c r="BX48" i="17"/>
  <c r="L15" i="17"/>
  <c r="BS29" i="17"/>
  <c r="BQ34" i="17"/>
  <c r="BM31" i="17"/>
  <c r="BU23" i="17"/>
  <c r="AE4" i="17"/>
  <c r="BI28" i="17"/>
  <c r="BI39" i="17"/>
  <c r="I15" i="17"/>
  <c r="BZ30" i="17"/>
  <c r="BS44" i="17"/>
  <c r="BJ15" i="17"/>
  <c r="I48" i="19"/>
  <c r="BW15" i="17"/>
  <c r="BW13" i="17"/>
  <c r="Q20" i="17"/>
  <c r="BT14" i="17"/>
  <c r="K10" i="17"/>
  <c r="BF18" i="17"/>
  <c r="K48" i="19" a="1"/>
  <c r="BQ7" i="17"/>
  <c r="F16" i="17"/>
  <c r="G14" i="17"/>
  <c r="BA39" i="17"/>
  <c r="BB11" i="17"/>
  <c r="BZ17" i="17"/>
  <c r="BL40" i="17"/>
  <c r="BL8" i="17"/>
  <c r="BV33" i="17"/>
  <c r="BI35" i="17"/>
  <c r="BC23" i="17"/>
  <c r="BB15" i="17"/>
  <c r="I21" i="17"/>
  <c r="BF11" i="17"/>
  <c r="BK39" i="17"/>
  <c r="BC14" i="17"/>
  <c r="BF9" i="17"/>
  <c r="BY49" i="17"/>
  <c r="BS16" i="17"/>
  <c r="BX18" i="17"/>
  <c r="AR14" i="17" a="1"/>
  <c r="BH23" i="17"/>
  <c r="BB51" i="17"/>
  <c r="BG37" i="17"/>
  <c r="I25" i="19"/>
  <c r="I34" i="19"/>
  <c r="I35" i="19"/>
  <c r="BF27" i="17"/>
  <c r="J34" i="19"/>
  <c r="BT21" i="17"/>
  <c r="BL32" i="17"/>
  <c r="BN23" i="17"/>
  <c r="BU51" i="17"/>
  <c r="AX37" i="17"/>
  <c r="BY24" i="17"/>
  <c r="H20" i="17"/>
  <c r="BP13" i="17"/>
  <c r="BX51" i="17"/>
  <c r="AY36" i="17"/>
  <c r="BH18" i="17"/>
  <c r="BA34" i="17"/>
  <c r="BH9" i="17"/>
  <c r="AY9" i="17"/>
  <c r="BT38" i="17"/>
  <c r="BV36" i="17"/>
  <c r="BV29" i="17"/>
  <c r="L17" i="17"/>
  <c r="K25" i="17"/>
  <c r="BH27" i="17"/>
  <c r="AY29" i="17"/>
  <c r="BJ11" i="17"/>
  <c r="BY47" i="17"/>
  <c r="BB30" i="17"/>
  <c r="BP22" i="17"/>
  <c r="BV42" i="17"/>
  <c r="Q11" i="17"/>
  <c r="H16" i="17"/>
  <c r="BD23" i="17"/>
  <c r="BG22" i="17"/>
  <c r="BY12" i="17"/>
  <c r="BZ20" i="17"/>
  <c r="J8" i="17"/>
  <c r="BR46" i="17"/>
  <c r="BN40" i="17"/>
  <c r="BM37" i="17"/>
  <c r="BK40" i="17"/>
  <c r="BA43" i="17"/>
  <c r="BB19" i="17"/>
  <c r="L25" i="17"/>
  <c r="BI33" i="17"/>
  <c r="BM18" i="17"/>
  <c r="BW14" i="17"/>
  <c r="AY45" i="17"/>
  <c r="BF30" i="17"/>
  <c r="BX32" i="17"/>
  <c r="AX43" i="17"/>
  <c r="F13" i="17"/>
  <c r="BW43" i="17"/>
  <c r="BX46" i="17"/>
  <c r="BT50" i="17"/>
  <c r="BX23" i="17"/>
  <c r="H25" i="17"/>
  <c r="J17" i="17"/>
  <c r="BA22" i="17"/>
  <c r="BR30" i="17"/>
  <c r="BO41" i="17"/>
  <c r="BW16" i="17"/>
  <c r="BW30" i="17"/>
  <c r="BU37" i="17"/>
  <c r="K11" i="17"/>
  <c r="BW17" i="17"/>
  <c r="BL10" i="17"/>
  <c r="BQ41" i="17"/>
  <c r="BI40" i="17"/>
  <c r="AX35" i="17"/>
  <c r="L21" i="17"/>
  <c r="BK33" i="17"/>
  <c r="BN12" i="17"/>
  <c r="K24" i="17"/>
  <c r="AY23" i="17"/>
  <c r="BY33" i="17"/>
  <c r="F31" i="17"/>
  <c r="AZ21" i="17"/>
  <c r="BM22" i="17"/>
  <c r="AL7" i="17" a="1"/>
  <c r="AY39" i="17"/>
  <c r="BZ8" i="17"/>
  <c r="Q5" i="17"/>
  <c r="BR18" i="17"/>
  <c r="BY43" i="17"/>
  <c r="Q16" i="17"/>
  <c r="AZ23" i="17"/>
  <c r="BA40" i="17"/>
  <c r="BY32" i="17"/>
  <c r="BS39" i="17"/>
  <c r="BP39" i="17"/>
  <c r="BM24" i="17"/>
  <c r="BF45" i="17"/>
  <c r="BT24" i="17"/>
  <c r="BX24" i="17"/>
  <c r="AC4" i="17"/>
  <c r="BQ30" i="17"/>
  <c r="BZ22" i="17"/>
  <c r="K29" i="19" a="1"/>
  <c r="BG33" i="17"/>
  <c r="K39" i="19" a="1"/>
  <c r="BP17" i="17"/>
  <c r="BC43" i="17"/>
  <c r="BV39" i="17"/>
  <c r="BV18" i="17"/>
  <c r="K36" i="19" a="1"/>
  <c r="J17" i="19"/>
  <c r="I39" i="19"/>
  <c r="I29" i="17"/>
  <c r="BO25" i="17"/>
  <c r="BC50" i="17"/>
  <c r="BW23" i="17"/>
  <c r="AX19" i="17"/>
  <c r="BE21" i="17"/>
  <c r="AA23" i="17"/>
  <c r="G25" i="17"/>
  <c r="BP33" i="17"/>
  <c r="BI34" i="17"/>
  <c r="BW48" i="17"/>
  <c r="BJ16" i="17"/>
  <c r="BE49" i="17"/>
  <c r="BA35" i="17"/>
  <c r="BK27" i="17"/>
  <c r="BD12" i="17"/>
  <c r="BN26" i="17"/>
  <c r="BO27" i="17"/>
  <c r="BE32" i="17"/>
  <c r="I25" i="17"/>
  <c r="BH40" i="17"/>
  <c r="BV48" i="17"/>
  <c r="G7" i="17"/>
  <c r="BZ36" i="17"/>
  <c r="BQ18" i="17"/>
  <c r="Q7" i="17"/>
  <c r="BJ40" i="17"/>
  <c r="BO44" i="17"/>
  <c r="BL37" i="17"/>
  <c r="BZ39" i="17"/>
  <c r="BX40" i="17"/>
  <c r="L23" i="17"/>
  <c r="BC30" i="17"/>
  <c r="I19" i="17"/>
  <c r="G19" i="17"/>
  <c r="BO51" i="17"/>
  <c r="BJ49" i="17"/>
  <c r="BA24" i="17"/>
  <c r="BB39" i="17"/>
  <c r="BS19" i="17"/>
  <c r="BF46" i="17"/>
  <c r="F32" i="17"/>
  <c r="BM32" i="17"/>
  <c r="BE39" i="17"/>
  <c r="BB36" i="17"/>
  <c r="J45" i="19"/>
  <c r="BA7" i="17"/>
  <c r="BR34" i="17"/>
  <c r="BZ33" i="17"/>
  <c r="K23" i="19" a="1"/>
  <c r="K31" i="17"/>
  <c r="BE23" i="17"/>
  <c r="BA26" i="17"/>
  <c r="BD14" i="17"/>
  <c r="BS43" i="17"/>
  <c r="BI16" i="17"/>
  <c r="K20" i="17"/>
  <c r="BG43" i="17"/>
  <c r="I22" i="17"/>
  <c r="Q30" i="17"/>
  <c r="BK32" i="17"/>
  <c r="AX22" i="17"/>
  <c r="AX45" i="17"/>
  <c r="BM16" i="17"/>
  <c r="BX41" i="17"/>
  <c r="BG14" i="17"/>
  <c r="L12" i="17"/>
  <c r="AX48" i="17"/>
  <c r="BG17" i="17"/>
  <c r="AZ29" i="17"/>
  <c r="BM50" i="17"/>
  <c r="H29" i="17"/>
  <c r="AY41" i="17"/>
  <c r="AY25" i="17"/>
  <c r="K32" i="17"/>
  <c r="BM23" i="17"/>
  <c r="AX34" i="17"/>
  <c r="BN16" i="17"/>
  <c r="BA42" i="17"/>
  <c r="BT47" i="17"/>
  <c r="BH45" i="17"/>
  <c r="BO39" i="17"/>
  <c r="BG44" i="17"/>
  <c r="Q17" i="17"/>
  <c r="BM27" i="17"/>
  <c r="BI9" i="17"/>
  <c r="BC37" i="17"/>
  <c r="BV44" i="17"/>
  <c r="BT28" i="17"/>
  <c r="BP37" i="17"/>
  <c r="BQ44" i="17"/>
  <c r="AY42" i="17"/>
  <c r="BR41" i="17"/>
  <c r="BM17" i="17"/>
  <c r="BZ15" i="17"/>
  <c r="BM35" i="17"/>
  <c r="BG38" i="17"/>
  <c r="J24" i="17"/>
  <c r="BY18" i="17"/>
  <c r="BN32" i="17"/>
  <c r="AY14" i="17"/>
  <c r="BD43" i="17"/>
  <c r="BF22" i="17"/>
  <c r="I17" i="19"/>
  <c r="I13" i="19"/>
  <c r="J19" i="19"/>
  <c r="BV15" i="17"/>
  <c r="BS48" i="17"/>
  <c r="AX25" i="17"/>
  <c r="BC20" i="17"/>
  <c r="I47" i="19"/>
  <c r="BN43" i="17"/>
  <c r="BZ23" i="17"/>
  <c r="AY12" i="17"/>
  <c r="I46" i="19"/>
  <c r="AO7" i="17" a="1"/>
  <c r="F28" i="17"/>
  <c r="BU45" i="17"/>
  <c r="BO11" i="17"/>
  <c r="BT32" i="17"/>
  <c r="BZ21" i="17"/>
  <c r="AA13" i="17"/>
  <c r="H15" i="17"/>
  <c r="BR44" i="17"/>
  <c r="AZ9" i="17"/>
  <c r="BN51" i="17"/>
  <c r="BV8" i="17"/>
  <c r="L16" i="17"/>
  <c r="BI47" i="17"/>
  <c r="BR38" i="17"/>
  <c r="BO45" i="17"/>
  <c r="Q25" i="17"/>
  <c r="AY20" i="17"/>
  <c r="BR35" i="17"/>
  <c r="AZ30" i="17"/>
  <c r="BZ47" i="17"/>
  <c r="AY8" i="17"/>
  <c r="AY49" i="17"/>
  <c r="BR8" i="17"/>
  <c r="AZ14" i="17"/>
  <c r="Q31" i="17"/>
  <c r="H4" i="17"/>
  <c r="BG11" i="17"/>
  <c r="I18" i="17"/>
  <c r="BH47" i="17"/>
  <c r="AZ25" i="17"/>
  <c r="BD35" i="17"/>
  <c r="BQ16" i="17"/>
  <c r="BN20" i="17"/>
  <c r="BX35" i="17"/>
  <c r="BE28" i="17"/>
  <c r="BE51" i="17"/>
  <c r="BI31" i="17"/>
  <c r="AX28" i="17"/>
  <c r="BP32" i="17"/>
  <c r="BZ10" i="17"/>
  <c r="BH22" i="17"/>
  <c r="BO13" i="17"/>
  <c r="BA14" i="17"/>
  <c r="BK29" i="17"/>
  <c r="BF14" i="17"/>
  <c r="BU21" i="17"/>
  <c r="BX28" i="17"/>
  <c r="K43" i="19" a="1"/>
  <c r="F7" i="17"/>
  <c r="I44" i="19"/>
  <c r="BJ39" i="17"/>
  <c r="BQ32" i="17"/>
  <c r="BE18" i="17"/>
  <c r="BY13" i="17"/>
  <c r="BJ12" i="17"/>
  <c r="BX29" i="17"/>
  <c r="BY23" i="17"/>
  <c r="BV50" i="17"/>
  <c r="BR50" i="17"/>
  <c r="BS21" i="17"/>
  <c r="BJ29" i="17"/>
  <c r="L19" i="17"/>
  <c r="F17" i="17"/>
  <c r="BV34" i="17"/>
  <c r="BO31" i="17"/>
  <c r="J13" i="17"/>
  <c r="BD29" i="17"/>
  <c r="BU39" i="17"/>
  <c r="K17" i="19" a="1"/>
  <c r="BW33" i="17"/>
  <c r="BC9" i="17"/>
  <c r="BK35" i="17"/>
  <c r="BE50" i="17"/>
  <c r="F19" i="17"/>
  <c r="I14" i="17"/>
  <c r="BD39" i="17"/>
  <c r="BL21" i="17"/>
  <c r="I17" i="17"/>
  <c r="BK42" i="17"/>
  <c r="F30" i="17"/>
  <c r="BF24" i="17"/>
  <c r="BC38" i="17"/>
  <c r="AA6" i="17"/>
  <c r="AN7" i="17" a="1"/>
  <c r="BV16" i="17"/>
  <c r="I24" i="17"/>
  <c r="BF39" i="17"/>
  <c r="BQ40" i="17"/>
  <c r="BV31" i="17"/>
  <c r="I23" i="19"/>
  <c r="AK7" i="17" a="1"/>
  <c r="BZ14" i="17"/>
  <c r="K32" i="19" a="1"/>
  <c r="K33" i="19" a="1"/>
  <c r="J31" i="19"/>
  <c r="I19" i="19"/>
  <c r="BS14" i="17"/>
  <c r="BT44" i="17"/>
  <c r="K28" i="19" a="1"/>
  <c r="AX38" i="17"/>
  <c r="I28" i="19"/>
  <c r="BQ24" i="17"/>
  <c r="BP19" i="17"/>
  <c r="BO14" i="17"/>
  <c r="BK10" i="17"/>
  <c r="BM42" i="17"/>
  <c r="BI21" i="17"/>
  <c r="BK23" i="17"/>
  <c r="BX39" i="17"/>
  <c r="BB48" i="17"/>
  <c r="I8" i="17"/>
  <c r="BT8" i="17"/>
  <c r="BT18" i="17"/>
  <c r="J25" i="17"/>
  <c r="BQ9" i="17"/>
  <c r="BT29" i="17"/>
  <c r="BZ41" i="17"/>
  <c r="BJ35" i="17"/>
  <c r="BP30" i="17"/>
  <c r="BF42" i="17"/>
  <c r="BI30" i="17"/>
  <c r="BN47" i="17"/>
  <c r="BC16" i="17"/>
  <c r="BX42" i="17"/>
  <c r="BS20" i="17"/>
  <c r="J23" i="17"/>
  <c r="AY17" i="17"/>
  <c r="BG12" i="17"/>
  <c r="BX36" i="17"/>
  <c r="BH7" i="17"/>
  <c r="K8" i="17"/>
  <c r="BW19" i="17"/>
  <c r="BK50" i="17"/>
  <c r="BN15" i="17"/>
  <c r="BY21" i="17"/>
  <c r="AA29" i="17"/>
  <c r="BB34" i="17"/>
  <c r="BR49" i="17"/>
  <c r="BK49" i="17"/>
  <c r="BG8" i="17"/>
  <c r="AZ50" i="17"/>
  <c r="BN46" i="17"/>
  <c r="BB46" i="17"/>
  <c r="BD46" i="17"/>
  <c r="AS14" i="17" a="1"/>
  <c r="BX37" i="17"/>
  <c r="AX29" i="17"/>
  <c r="J27" i="17"/>
  <c r="BL31" i="17"/>
  <c r="G20" i="17"/>
  <c r="H31" i="17"/>
  <c r="BR17" i="17"/>
  <c r="BR7" i="17"/>
  <c r="BM15" i="17"/>
  <c r="BX49" i="17"/>
  <c r="BR40" i="17"/>
  <c r="BG21" i="17"/>
  <c r="BA47" i="17"/>
  <c r="G31" i="17"/>
  <c r="BT26" i="17"/>
  <c r="BJ46" i="17"/>
  <c r="K26" i="17"/>
  <c r="BN48" i="17"/>
  <c r="BJ18" i="17"/>
  <c r="BZ16" i="17"/>
  <c r="BM39" i="17"/>
  <c r="BD50" i="17"/>
  <c r="F11" i="17"/>
  <c r="AZ42" i="17"/>
  <c r="I43" i="19"/>
  <c r="BV10" i="17"/>
  <c r="BC40" i="17"/>
  <c r="BY31" i="17"/>
  <c r="BT40" i="17"/>
  <c r="G12" i="17"/>
  <c r="BB16" i="17"/>
  <c r="BD28" i="17"/>
  <c r="J32" i="17"/>
  <c r="Q18" i="17"/>
  <c r="BN35" i="17"/>
  <c r="BL22" i="17"/>
  <c r="BT49" i="17"/>
  <c r="BY8" i="17"/>
  <c r="BX38" i="17"/>
  <c r="BZ27" i="17"/>
  <c r="BS13" i="17"/>
  <c r="BL49" i="17"/>
  <c r="BQ11" i="17"/>
  <c r="BZ19" i="17"/>
  <c r="BW32" i="17"/>
  <c r="BP47" i="17"/>
  <c r="BE19" i="17"/>
  <c r="BU25" i="17"/>
  <c r="BS50" i="17"/>
  <c r="I32" i="17"/>
  <c r="BI15" i="17"/>
  <c r="I38" i="19"/>
  <c r="BE17" i="17"/>
  <c r="BD51" i="17"/>
  <c r="BX26" i="17"/>
  <c r="G11" i="17"/>
  <c r="BF19" i="17"/>
  <c r="BO20" i="17"/>
  <c r="BJ38" i="17"/>
  <c r="BS24" i="17"/>
  <c r="BF48" i="17"/>
  <c r="BD44" i="17"/>
  <c r="BJ19" i="17"/>
  <c r="BD8" i="17"/>
  <c r="BR24" i="17"/>
  <c r="BD31" i="17"/>
  <c r="BT41" i="17"/>
  <c r="BS30" i="17"/>
  <c r="BE46" i="17"/>
  <c r="BY38" i="17"/>
  <c r="BV23" i="17"/>
  <c r="BX10" i="17"/>
  <c r="BV26" i="17"/>
  <c r="BP34" i="17"/>
  <c r="J9" i="19"/>
  <c r="I33" i="19"/>
  <c r="I31" i="19"/>
  <c r="J23" i="19"/>
  <c r="BV38" i="17"/>
  <c r="I23" i="17"/>
  <c r="BA38" i="17"/>
  <c r="BP36" i="17"/>
  <c r="K37" i="19" a="1"/>
  <c r="J13" i="19"/>
  <c r="I21" i="19"/>
  <c r="BZ49" i="17"/>
  <c r="BJ51" i="17"/>
  <c r="AX49" i="17"/>
  <c r="BF36" i="17"/>
  <c r="AZ49" i="17"/>
  <c r="AX46" i="17"/>
  <c r="J38" i="19"/>
  <c r="J21" i="19"/>
  <c r="BP12" i="17"/>
  <c r="BZ9" i="17"/>
  <c r="BT36" i="17"/>
  <c r="BU8" i="17"/>
  <c r="I13" i="17"/>
  <c r="BR33" i="17"/>
  <c r="BQ10" i="17"/>
  <c r="BL24" i="17"/>
  <c r="BM33" i="17"/>
  <c r="AA14" i="17"/>
  <c r="BW28" i="17"/>
  <c r="AX14" i="17"/>
  <c r="BQ50" i="17"/>
  <c r="Q24" i="17"/>
  <c r="BU32" i="17"/>
  <c r="BQ21" i="17"/>
  <c r="BI14" i="17"/>
  <c r="BK16" i="17"/>
  <c r="BT19" i="17"/>
  <c r="F26" i="17"/>
  <c r="BE44" i="17"/>
  <c r="AX27" i="17"/>
  <c r="K20" i="19" a="1"/>
  <c r="BL29" i="17"/>
  <c r="BL16" i="17"/>
  <c r="BA50" i="17"/>
  <c r="BM34" i="17"/>
  <c r="BD49" i="17"/>
  <c r="BU29" i="17"/>
  <c r="BO7" i="17"/>
  <c r="BE14" i="17"/>
  <c r="BG45" i="17"/>
  <c r="BL48" i="17"/>
  <c r="L18" i="17"/>
  <c r="BD34" i="17"/>
  <c r="AA16" i="17"/>
  <c r="BU34" i="17"/>
  <c r="F14" i="17"/>
  <c r="BO10" i="17"/>
  <c r="BE30" i="17"/>
  <c r="BM29" i="17"/>
  <c r="BA19" i="17"/>
  <c r="BA13" i="17"/>
  <c r="BE42" i="17"/>
  <c r="BV24" i="17"/>
  <c r="BS46" i="17"/>
  <c r="BB20" i="17"/>
  <c r="BI24" i="17"/>
  <c r="K24" i="19" a="1"/>
  <c r="BS26" i="17"/>
  <c r="BH34" i="17"/>
  <c r="BJ9" i="17"/>
  <c r="K4" i="17"/>
  <c r="F27" i="17"/>
  <c r="L5" i="17"/>
  <c r="BS37" i="17"/>
  <c r="BY9" i="17"/>
  <c r="BY50" i="17"/>
  <c r="BP46" i="17"/>
  <c r="AP14" i="17" a="1"/>
  <c r="BY45" i="17"/>
  <c r="BI8" i="17"/>
  <c r="BY11" i="17"/>
  <c r="Q23" i="17"/>
  <c r="BW38" i="17"/>
  <c r="AA18" i="17"/>
  <c r="BL27" i="17"/>
  <c r="AZ48" i="17"/>
  <c r="BD48" i="17"/>
  <c r="BE37" i="17"/>
  <c r="BY28" i="17"/>
  <c r="H26" i="17"/>
  <c r="BI41" i="17"/>
  <c r="Q10" i="17"/>
  <c r="BF15" i="17"/>
  <c r="BR12" i="17"/>
  <c r="BH44" i="17"/>
  <c r="BG23" i="17"/>
  <c r="BW9" i="17"/>
  <c r="BC41" i="17"/>
  <c r="BS41" i="17"/>
  <c r="J42" i="19"/>
  <c r="AA19" i="17"/>
  <c r="BE33" i="17"/>
  <c r="BM12" i="17"/>
  <c r="BJ48" i="17"/>
  <c r="AM7" i="17" a="1"/>
  <c r="BW42" i="17"/>
  <c r="BG28" i="17"/>
  <c r="AY11" i="17"/>
  <c r="Q19" i="17"/>
  <c r="BY15" i="17"/>
  <c r="BW12" i="17"/>
  <c r="BQ27" i="17"/>
  <c r="AZ35" i="17"/>
  <c r="BQ42" i="17"/>
  <c r="J19" i="17"/>
  <c r="BI17" i="17"/>
  <c r="BX47" i="17"/>
  <c r="I26" i="19"/>
  <c r="J28" i="17"/>
  <c r="K26" i="19" a="1"/>
  <c r="BN19" i="17"/>
  <c r="BB21" i="17"/>
  <c r="BJ34" i="17"/>
  <c r="BL18" i="17"/>
  <c r="BE7" i="17"/>
  <c r="BT46" i="17"/>
  <c r="BK8" i="17"/>
  <c r="AX26" i="17"/>
  <c r="BJ8" i="17"/>
  <c r="AY26" i="17"/>
  <c r="L13" i="17"/>
  <c r="Q6" i="17"/>
  <c r="G4" i="17"/>
  <c r="AX32" i="17"/>
  <c r="BN13" i="17"/>
  <c r="I10" i="19"/>
  <c r="BG36" i="17"/>
  <c r="I28" i="17"/>
  <c r="BH48" i="17"/>
  <c r="AB4" i="17"/>
  <c r="AY37" i="17"/>
  <c r="F22" i="17"/>
  <c r="BY35" i="17"/>
  <c r="BK51" i="17"/>
  <c r="BP31" i="17"/>
  <c r="BU38" i="17"/>
  <c r="AX41" i="17"/>
  <c r="AY32" i="17"/>
  <c r="BZ48" i="17"/>
  <c r="BG49" i="17"/>
  <c r="BJ44" i="17"/>
  <c r="K21" i="17"/>
  <c r="BY17" i="17"/>
  <c r="AL14" i="17" a="1"/>
  <c r="BD15" i="17"/>
  <c r="BH39" i="17"/>
  <c r="BB8" i="17"/>
  <c r="BO19" i="17"/>
  <c r="BY25" i="17"/>
  <c r="AX21" i="17"/>
  <c r="BS49" i="17"/>
  <c r="BT35" i="17"/>
  <c r="J16" i="17"/>
  <c r="BY16" i="17"/>
  <c r="BQ14" i="17"/>
  <c r="BS34" i="17"/>
  <c r="BM38" i="17"/>
  <c r="AZ18" i="17"/>
  <c r="BY44" i="17"/>
  <c r="BS7" i="17"/>
  <c r="BW47" i="17"/>
  <c r="BE31" i="17"/>
  <c r="BC48" i="17"/>
  <c r="AY24" i="17"/>
  <c r="BZ32" i="17"/>
  <c r="BG41" i="17"/>
  <c r="BS42" i="17"/>
  <c r="BW20" i="17"/>
  <c r="BN7" i="17"/>
  <c r="AZ41" i="17"/>
  <c r="AY48" i="17"/>
  <c r="BX19" i="17"/>
  <c r="BT25" i="17"/>
  <c r="BQ22" i="17"/>
  <c r="BK30" i="17"/>
  <c r="BC11" i="17"/>
  <c r="BK17" i="17"/>
  <c r="BU19" i="17"/>
  <c r="L27" i="17"/>
  <c r="BS25" i="17"/>
  <c r="BJ24" i="17"/>
  <c r="BJ32" i="17"/>
  <c r="BB14" i="17"/>
  <c r="BX44" i="17"/>
  <c r="BO34" i="17"/>
  <c r="BW34" i="17"/>
  <c r="BP20" i="17"/>
  <c r="I45" i="19"/>
  <c r="BN11" i="17"/>
  <c r="BM44" i="17"/>
  <c r="BL26" i="17"/>
  <c r="BJ47" i="17"/>
  <c r="BM40" i="17"/>
  <c r="BD38" i="17"/>
  <c r="BQ28" i="17"/>
  <c r="BD32" i="17"/>
  <c r="BJ23" i="17"/>
  <c r="BK19" i="17"/>
  <c r="BM36" i="17"/>
  <c r="BF49" i="17"/>
  <c r="AX44" i="17"/>
  <c r="AY38" i="17"/>
  <c r="BO47" i="17"/>
  <c r="BA51" i="17"/>
  <c r="AX8" i="17"/>
  <c r="AA31" i="17"/>
  <c r="BP21" i="17"/>
  <c r="BD45" i="17"/>
  <c r="BF50" i="17"/>
  <c r="BF21" i="17"/>
  <c r="BS40" i="17"/>
  <c r="BU36" i="17"/>
  <c r="AY50" i="17"/>
  <c r="BH35" i="17"/>
  <c r="Q21" i="17"/>
  <c r="BV17" i="17"/>
  <c r="BW41" i="17"/>
  <c r="BV35" i="17"/>
  <c r="BP41" i="17"/>
  <c r="BG26" i="17"/>
  <c r="BJ14" i="17"/>
  <c r="BZ45" i="17"/>
  <c r="BH10" i="17"/>
  <c r="BM10" i="17"/>
  <c r="BX45" i="17"/>
  <c r="BH42" i="17"/>
  <c r="AR7" i="17" a="1"/>
  <c r="AY51" i="17"/>
  <c r="BL7" i="17"/>
  <c r="K28" i="17"/>
  <c r="BI23" i="17"/>
  <c r="BO28" i="17"/>
  <c r="BU22" i="17"/>
  <c r="BY30" i="17"/>
  <c r="BX33" i="17"/>
  <c r="AY22" i="17"/>
  <c r="BZ18" i="17"/>
  <c r="J6" i="17"/>
  <c r="BW51" i="17"/>
  <c r="BI13" i="17"/>
  <c r="BG30" i="17"/>
  <c r="BQ13" i="17"/>
  <c r="BF10" i="17"/>
  <c r="BB9" i="17"/>
  <c r="BF28" i="17"/>
  <c r="BM19" i="17"/>
  <c r="BL34" i="17"/>
  <c r="BE38" i="17"/>
  <c r="K17" i="17"/>
  <c r="BA30" i="17"/>
  <c r="BD41" i="17"/>
  <c r="BZ40" i="17"/>
  <c r="BR42" i="17"/>
  <c r="BV7" i="17"/>
  <c r="BM9" i="17"/>
  <c r="BC10" i="17"/>
  <c r="AZ20" i="17"/>
  <c r="BK14" i="17"/>
  <c r="BJ50" i="17"/>
  <c r="BI48" i="17"/>
  <c r="BO35" i="17"/>
  <c r="BK45" i="17"/>
  <c r="AZ32" i="17"/>
  <c r="J5" i="17"/>
  <c r="BM14" i="17"/>
  <c r="BQ37" i="17"/>
  <c r="BY29" i="17"/>
  <c r="BT43" i="17"/>
  <c r="Q26" i="17"/>
  <c r="BZ38" i="17"/>
  <c r="L32" i="17"/>
  <c r="L8" i="17"/>
  <c r="H21" i="17"/>
  <c r="BN50" i="17"/>
  <c r="BY36" i="17"/>
  <c r="BL12" i="17"/>
  <c r="Z6" i="17"/>
  <c r="BP28" i="17"/>
  <c r="BE36" i="17"/>
  <c r="BH15" i="17"/>
  <c r="BV12" i="17"/>
  <c r="BW27" i="17"/>
  <c r="BM20" i="17"/>
  <c r="J43" i="19"/>
  <c r="BZ24" i="17"/>
  <c r="BW24" i="17"/>
  <c r="BM30" i="17"/>
  <c r="BB25" i="17"/>
  <c r="T6" i="17"/>
  <c r="K15" i="17"/>
  <c r="I41" i="19"/>
  <c r="AX16" i="17"/>
  <c r="BU44" i="17"/>
  <c r="BZ31" i="17"/>
  <c r="BV40" i="17"/>
  <c r="BH25" i="17"/>
  <c r="K21" i="19" a="1"/>
  <c r="BK22" i="17"/>
  <c r="BX15" i="17"/>
  <c r="BD7" i="17"/>
  <c r="BF17" i="17"/>
  <c r="BG51" i="17"/>
  <c r="BZ13" i="17"/>
  <c r="H8" i="17"/>
  <c r="AZ19" i="17"/>
  <c r="K16" i="17"/>
  <c r="Q9" i="17"/>
  <c r="BJ37" i="17"/>
  <c r="BK15" i="17"/>
  <c r="BZ12" i="17"/>
  <c r="BK21" i="17"/>
  <c r="BG18" i="17"/>
  <c r="BT20" i="17"/>
  <c r="F18" i="17"/>
  <c r="BL13" i="17"/>
  <c r="BF16" i="17"/>
  <c r="BD19" i="17"/>
  <c r="BJ43" i="17"/>
  <c r="BM7" i="17"/>
  <c r="BD30" i="17"/>
  <c r="BY51" i="17"/>
  <c r="BW40" i="17"/>
  <c r="AG4" i="17"/>
  <c r="BP44" i="17"/>
  <c r="BQ35" i="17"/>
  <c r="AY21" i="17"/>
  <c r="BK48" i="17"/>
  <c r="BU11" i="17"/>
  <c r="BF34" i="17"/>
  <c r="BG40" i="17"/>
  <c r="G17" i="17"/>
  <c r="BB13" i="17"/>
  <c r="AY7" i="17"/>
  <c r="BU47" i="17"/>
  <c r="BB18" i="17"/>
  <c r="BD42" i="17"/>
  <c r="BN49" i="17"/>
  <c r="I27" i="19"/>
  <c r="BW39" i="17"/>
  <c r="AZ8" i="17"/>
  <c r="K44" i="19" a="1"/>
  <c r="BZ28" i="17"/>
  <c r="BI10" i="17"/>
  <c r="BI42" i="17"/>
  <c r="BW11" i="17"/>
  <c r="BK25" i="17"/>
  <c r="BI46" i="17"/>
  <c r="Q27" i="17"/>
  <c r="BR20" i="17"/>
  <c r="BI32" i="17"/>
  <c r="BV20" i="17"/>
  <c r="L20" i="17"/>
  <c r="H9" i="17"/>
  <c r="BF37" i="17"/>
  <c r="BS11" i="17"/>
  <c r="BT15" i="17"/>
  <c r="BZ26" i="17"/>
  <c r="BW44" i="17"/>
  <c r="BI43" i="17"/>
  <c r="BG50" i="17"/>
  <c r="K29" i="17"/>
  <c r="BK36" i="17"/>
  <c r="BU28" i="17"/>
  <c r="BP42" i="17"/>
  <c r="BT37" i="17"/>
  <c r="BL38" i="17"/>
  <c r="BH24" i="17"/>
  <c r="L31" i="17"/>
  <c r="F15" i="17"/>
  <c r="J29" i="17"/>
  <c r="BJ42" i="17"/>
  <c r="K18" i="17"/>
  <c r="BR10" i="17"/>
  <c r="Q14" i="17"/>
  <c r="BC8" i="17"/>
  <c r="BK47" i="17"/>
  <c r="BK31" i="17"/>
  <c r="AZ40" i="17"/>
  <c r="BB29" i="17"/>
  <c r="BH29" i="17"/>
  <c r="BJ30" i="17"/>
  <c r="BB49" i="17"/>
  <c r="BA11" i="17"/>
  <c r="BI7" i="17"/>
  <c r="BH8" i="17"/>
  <c r="L22" i="17"/>
  <c r="BI12" i="17"/>
  <c r="BS36" i="17"/>
  <c r="BG10" i="17"/>
  <c r="BW45" i="17"/>
  <c r="BO29" i="17"/>
  <c r="BM46" i="17"/>
  <c r="H23" i="17"/>
  <c r="BR39" i="17"/>
  <c r="F21" i="17"/>
  <c r="BC42" i="17"/>
  <c r="J30" i="17"/>
  <c r="BP51" i="17"/>
  <c r="BN45" i="17"/>
  <c r="BB43" i="17"/>
  <c r="BE16" i="17"/>
  <c r="BJ13" i="17"/>
  <c r="BS9" i="17"/>
  <c r="BN17" i="17"/>
  <c r="BQ29" i="17"/>
  <c r="BA29" i="17"/>
  <c r="BQ36" i="17"/>
  <c r="BT7" i="17"/>
  <c r="BN22" i="17"/>
  <c r="AO14" i="17" a="1"/>
  <c r="AA24" i="17"/>
  <c r="BT34" i="17"/>
  <c r="BR27" i="17"/>
  <c r="BL33" i="17"/>
  <c r="BD13" i="17"/>
  <c r="BT22" i="17"/>
  <c r="BZ34" i="17"/>
  <c r="BK20" i="17"/>
  <c r="BN44" i="17"/>
  <c r="G22" i="17"/>
  <c r="BX16" i="17"/>
  <c r="K15" i="19" a="1"/>
  <c r="J22" i="19"/>
  <c r="I20" i="19"/>
  <c r="BP29" i="17"/>
  <c r="AY16" i="17"/>
  <c r="Z4" i="17"/>
  <c r="BX17" i="17"/>
  <c r="AX47" i="17"/>
  <c r="BB38" i="17"/>
  <c r="BF20" i="17"/>
  <c r="BA9" i="17"/>
  <c r="BQ12" i="17"/>
  <c r="BV51" i="17"/>
  <c r="BT27" i="17"/>
  <c r="Q8" i="17"/>
  <c r="BM47" i="17"/>
  <c r="H30" i="17"/>
  <c r="BR43" i="17"/>
  <c r="AA32" i="17"/>
  <c r="K5" i="17"/>
  <c r="BD47" i="17"/>
  <c r="AD4" i="17"/>
  <c r="BN42" i="17"/>
  <c r="AZ7" i="17"/>
  <c r="BR15" i="17"/>
  <c r="L29" i="17"/>
  <c r="H12" i="17"/>
  <c r="BQ20" i="17"/>
  <c r="F12" i="17"/>
  <c r="AA12" i="17"/>
  <c r="BP35" i="17"/>
  <c r="BS22" i="17"/>
  <c r="BN39" i="17"/>
  <c r="BB28" i="17"/>
  <c r="I11" i="17"/>
  <c r="BV11" i="17"/>
  <c r="AZ11" i="17"/>
  <c r="BW49" i="17"/>
  <c r="BU49" i="17"/>
  <c r="BX12" i="17"/>
  <c r="BH16" i="17"/>
  <c r="BD11" i="17"/>
  <c r="BS8" i="17"/>
  <c r="BT17" i="17"/>
  <c r="BL36" i="17"/>
  <c r="M4" i="17"/>
  <c r="J12" i="19"/>
  <c r="J20" i="19"/>
  <c r="L24" i="17"/>
  <c r="BU12" i="17"/>
  <c r="BZ37" i="17"/>
  <c r="BG24" i="17"/>
  <c r="AY19" i="17"/>
  <c r="BD24" i="17"/>
  <c r="BC45" i="17"/>
  <c r="G16" i="17"/>
  <c r="BP9" i="17"/>
  <c r="AX13" i="17"/>
  <c r="BA10" i="17"/>
  <c r="BH21" i="17"/>
  <c r="BB23" i="17"/>
  <c r="BX31" i="17"/>
  <c r="BH11" i="17"/>
  <c r="BR23" i="17"/>
  <c r="BG15" i="17"/>
  <c r="BA21" i="17"/>
  <c r="BB42" i="17"/>
  <c r="BE43" i="17"/>
  <c r="AX33" i="17"/>
  <c r="BF12" i="17"/>
  <c r="BM43" i="17"/>
  <c r="BQ46" i="17"/>
  <c r="BU14" i="17"/>
  <c r="BF13" i="17"/>
  <c r="BU27" i="17"/>
  <c r="BN31" i="17"/>
  <c r="BO15" i="17"/>
  <c r="K22" i="17"/>
  <c r="BB45" i="17"/>
  <c r="BP25" i="17"/>
  <c r="Y6" i="17"/>
  <c r="K45" i="19" a="1"/>
  <c r="AA9" i="17"/>
  <c r="BR45" i="17"/>
  <c r="BW35" i="17"/>
  <c r="AX11" i="17"/>
  <c r="BX13" i="17"/>
  <c r="J24" i="19"/>
  <c r="I14" i="19"/>
  <c r="BU41" i="17"/>
  <c r="BS18" i="17"/>
  <c r="BF47" i="17"/>
  <c r="BW10" i="17"/>
  <c r="BN18" i="17"/>
  <c r="BC51" i="17"/>
  <c r="F20" i="17"/>
  <c r="AY10" i="17"/>
  <c r="AY30" i="17"/>
  <c r="BC49" i="17"/>
  <c r="BY14" i="17"/>
  <c r="BL19" i="17"/>
  <c r="BX27" i="17"/>
  <c r="BR29" i="17"/>
  <c r="AZ27" i="17"/>
  <c r="AP7" i="17" a="1"/>
  <c r="BB41" i="17"/>
  <c r="AZ22" i="17"/>
  <c r="K23" i="17"/>
  <c r="I4" i="17"/>
  <c r="BA44" i="17"/>
  <c r="BH38" i="17"/>
  <c r="BJ41" i="17"/>
  <c r="AA7" i="17"/>
  <c r="BH43" i="17"/>
  <c r="AZ45" i="17"/>
  <c r="BU50" i="17"/>
  <c r="BP26" i="17"/>
  <c r="AZ13" i="17"/>
  <c r="BI19" i="17"/>
  <c r="BY10" i="17"/>
  <c r="BO32" i="17"/>
  <c r="J9" i="17"/>
  <c r="AX36" i="17"/>
  <c r="BK18" i="17"/>
  <c r="BK46" i="17"/>
  <c r="BR47" i="17"/>
  <c r="BQ25" i="17"/>
  <c r="BO37" i="17"/>
  <c r="J15" i="19"/>
  <c r="BP27" i="17"/>
  <c r="BO48" i="17"/>
  <c r="BL20" i="17"/>
  <c r="BT16" i="17"/>
  <c r="J25" i="19"/>
  <c r="G32" i="17"/>
  <c r="BA49" i="17"/>
  <c r="G8" i="17"/>
  <c r="J30" i="19"/>
  <c r="BO24" i="17"/>
  <c r="AX24" i="17"/>
  <c r="BB50" i="17"/>
  <c r="BI11" i="17"/>
  <c r="BO40" i="17"/>
  <c r="G23" i="17"/>
  <c r="AA22" i="17"/>
  <c r="K47" i="19" a="1"/>
  <c r="AX50" i="17"/>
  <c r="I26" i="17"/>
  <c r="BV9" i="17"/>
  <c r="BL44" i="17"/>
  <c r="BR28" i="17"/>
  <c r="BC35" i="17"/>
  <c r="J46" i="19"/>
  <c r="BN9" i="17"/>
  <c r="AF4" i="17"/>
  <c r="AY13" i="17"/>
  <c r="BQ48" i="17"/>
  <c r="AT14" i="17" a="1"/>
  <c r="BZ50" i="17"/>
  <c r="BH28" i="17"/>
  <c r="AZ24" i="17"/>
  <c r="BO46" i="17"/>
  <c r="BN38" i="17"/>
  <c r="AA10" i="17"/>
  <c r="BN25" i="17"/>
  <c r="BQ45" i="17"/>
  <c r="BA41" i="17"/>
  <c r="BC39" i="17"/>
  <c r="G27" i="17"/>
  <c r="BL17" i="17"/>
  <c r="K27" i="17"/>
  <c r="BA23" i="17"/>
  <c r="BB7" i="17"/>
  <c r="BG42" i="17"/>
  <c r="BL30" i="17"/>
  <c r="AZ46" i="17"/>
  <c r="BQ38" i="17"/>
  <c r="BY48" i="17"/>
  <c r="AY15" i="17"/>
  <c r="BM11" i="17"/>
  <c r="BH37" i="17"/>
  <c r="BJ20" i="17"/>
  <c r="BR11" i="17"/>
  <c r="BU42" i="17"/>
  <c r="BR16" i="17"/>
  <c r="BJ36" i="17"/>
  <c r="BV25" i="17"/>
  <c r="BG32" i="17"/>
  <c r="AY35" i="17"/>
  <c r="BE22" i="17"/>
  <c r="BP8" i="17"/>
  <c r="BM8" i="17"/>
  <c r="BI37" i="17"/>
  <c r="BK7" i="17"/>
  <c r="BZ11" i="17"/>
  <c r="BO21" i="17"/>
  <c r="BY27" i="17"/>
  <c r="BX43" i="17"/>
  <c r="BP49" i="17"/>
  <c r="BY22" i="17"/>
  <c r="BE15" i="17"/>
  <c r="AZ33" i="17"/>
  <c r="BE12" i="17"/>
  <c r="J47" i="19"/>
  <c r="BQ19" i="17"/>
  <c r="I29" i="19"/>
  <c r="BF33" i="17"/>
  <c r="BB33" i="17"/>
  <c r="BY20" i="17"/>
  <c r="BC12" i="17"/>
  <c r="BY34" i="17"/>
  <c r="BH19" i="17"/>
  <c r="BM45" i="17"/>
  <c r="BA27" i="17"/>
  <c r="BB37" i="17"/>
  <c r="BX7" i="17"/>
  <c r="BP23" i="17"/>
  <c r="AT7" i="17" a="1"/>
  <c r="BU17" i="17"/>
  <c r="BI45" i="17"/>
  <c r="K10" i="19" a="1"/>
  <c r="BY40" i="17"/>
  <c r="BX8" i="17"/>
  <c r="F23" i="17"/>
  <c r="BA45" i="17"/>
  <c r="K40" i="19" a="1"/>
  <c r="AZ15" i="17"/>
  <c r="BC18" i="17"/>
  <c r="BW29" i="17"/>
  <c r="I18" i="19"/>
  <c r="F29" i="17"/>
  <c r="G18" i="17"/>
  <c r="I30" i="17"/>
  <c r="BV14" i="17"/>
  <c r="AA15" i="17"/>
  <c r="BA31" i="17"/>
  <c r="K7" i="19" a="1"/>
  <c r="BE8" i="17"/>
  <c r="BQ31" i="17"/>
  <c r="BQ26" i="17"/>
  <c r="AA11" i="17"/>
  <c r="BF41" i="17"/>
  <c r="BM49" i="17"/>
  <c r="BI49" i="17"/>
  <c r="BB24" i="17"/>
  <c r="BW8" i="17"/>
  <c r="BL51" i="17"/>
  <c r="K9" i="17"/>
  <c r="BG19" i="17"/>
  <c r="BX25" i="17"/>
  <c r="AN14" i="17" a="1"/>
  <c r="AX30" i="17"/>
  <c r="BV47" i="17"/>
  <c r="BT10" i="17"/>
  <c r="BE45" i="17"/>
  <c r="BM21" i="17"/>
  <c r="I16" i="17"/>
  <c r="AA20" i="17"/>
  <c r="BH36" i="17"/>
  <c r="AS7" i="17" a="1"/>
  <c r="BO17" i="17"/>
  <c r="K42" i="19" a="1"/>
  <c r="BC13" i="17"/>
  <c r="BM28" i="17"/>
  <c r="BD18" i="17"/>
  <c r="BO22" i="17"/>
  <c r="I5" i="17"/>
  <c r="J16" i="19"/>
  <c r="BT51" i="17"/>
  <c r="J22" i="17"/>
  <c r="AX39" i="17"/>
  <c r="BH33" i="17"/>
  <c r="F8" i="17"/>
  <c r="BP7" i="17"/>
  <c r="J18" i="17"/>
  <c r="AZ31" i="17"/>
  <c r="BU7" i="17"/>
  <c r="AY43" i="17"/>
  <c r="AZ28" i="17"/>
  <c r="BB27" i="17"/>
  <c r="BL39" i="17"/>
  <c r="BV32" i="17"/>
  <c r="BO26" i="17"/>
  <c r="BT11" i="17"/>
  <c r="BA12" i="17"/>
  <c r="BN21" i="17"/>
  <c r="BO49" i="17"/>
  <c r="BJ31" i="17"/>
  <c r="I31" i="17"/>
  <c r="BC22" i="17"/>
  <c r="J18" i="19"/>
  <c r="BQ47" i="17"/>
  <c r="BV37" i="17"/>
  <c r="AY27" i="17"/>
  <c r="BE29" i="17"/>
  <c r="BC32" i="17"/>
  <c r="BG27" i="17"/>
  <c r="BI36" i="17"/>
  <c r="BV43" i="17"/>
  <c r="BG39" i="17"/>
  <c r="K9" i="19" a="1"/>
  <c r="J41" i="19"/>
  <c r="G5" i="17"/>
  <c r="BD26" i="17"/>
  <c r="BZ43" i="17"/>
  <c r="BS10" i="17"/>
  <c r="BO16" i="17"/>
  <c r="AZ39" i="17"/>
  <c r="BL41" i="17"/>
  <c r="AX31" i="17"/>
  <c r="L28" i="17"/>
  <c r="BU30" i="17"/>
  <c r="J10" i="17"/>
  <c r="J36" i="19"/>
  <c r="BC36" i="17"/>
  <c r="BD27" i="17"/>
  <c r="AQ7" i="17" a="1"/>
  <c r="G21" i="17"/>
  <c r="BZ35" i="17"/>
  <c r="AY28" i="17"/>
  <c r="AA26" i="17"/>
  <c r="BU18" i="17"/>
  <c r="BD22" i="17"/>
  <c r="BV28" i="17"/>
  <c r="BX30" i="17"/>
  <c r="BR9" i="17"/>
  <c r="BA46" i="17"/>
  <c r="L7" i="17"/>
  <c r="H13" i="17"/>
  <c r="BU33" i="17"/>
  <c r="AZ16" i="17"/>
  <c r="BF43" i="17"/>
  <c r="AA17" i="17"/>
  <c r="AX42" i="17"/>
  <c r="BS38" i="17"/>
  <c r="BL15" i="17"/>
  <c r="BH30" i="17"/>
  <c r="BG29" i="17"/>
  <c r="BN28" i="17"/>
  <c r="BF51" i="17"/>
  <c r="BC44" i="17"/>
  <c r="BT42" i="17"/>
  <c r="BE25" i="17"/>
  <c r="BS51" i="17"/>
  <c r="AY33" i="17"/>
  <c r="K16" i="19" a="1"/>
  <c r="BC25" i="17"/>
  <c r="BE26" i="17"/>
  <c r="BW36" i="17"/>
  <c r="K12" i="17"/>
  <c r="BC34" i="17"/>
  <c r="BI20" i="17"/>
  <c r="BH31" i="17"/>
  <c r="BQ49" i="17"/>
  <c r="BL9" i="17"/>
  <c r="BT12" i="17"/>
  <c r="K19" i="17"/>
  <c r="BE27" i="17"/>
  <c r="BF25" i="17"/>
  <c r="BX22" i="17"/>
  <c r="BF23" i="17"/>
  <c r="L10" i="17"/>
  <c r="BF32" i="17"/>
  <c r="BF29" i="17"/>
  <c r="K30" i="17"/>
  <c r="BZ25" i="17"/>
  <c r="BZ29" i="17"/>
  <c r="G15" i="17"/>
  <c r="BK26" i="17"/>
  <c r="BE40" i="17"/>
  <c r="G13" i="17"/>
  <c r="BW37" i="17"/>
  <c r="BI51" i="17"/>
  <c r="J20" i="17"/>
  <c r="BP18" i="17"/>
  <c r="BO33" i="17"/>
  <c r="BX20" i="17"/>
  <c r="BI29" i="17"/>
  <c r="BG20" i="17"/>
  <c r="BD33" i="17"/>
  <c r="BH50" i="17"/>
  <c r="BF44" i="17"/>
  <c r="AZ36" i="17"/>
  <c r="K7" i="17"/>
  <c r="BN8" i="17"/>
  <c r="BN41" i="17"/>
  <c r="I36" i="19"/>
  <c r="BU46" i="17"/>
  <c r="BX50" i="17"/>
  <c r="BG46" i="17"/>
  <c r="H18" i="17"/>
  <c r="BB35" i="17"/>
  <c r="AY34" i="17"/>
  <c r="BY37" i="17"/>
  <c r="BR25" i="17"/>
  <c r="BQ51" i="17"/>
  <c r="BA16" i="17"/>
  <c r="I10" i="17"/>
  <c r="BY26" i="17"/>
  <c r="BV45" i="17"/>
  <c r="AZ44" i="17"/>
  <c r="BH41" i="17"/>
  <c r="BS15" i="17"/>
  <c r="BK37" i="17"/>
  <c r="BY39" i="17"/>
  <c r="AX51" i="17"/>
  <c r="BN37" i="17"/>
  <c r="BD10" i="17"/>
  <c r="BE41" i="17"/>
  <c r="K11" i="19" a="1"/>
  <c r="J28" i="19"/>
  <c r="G24" i="17"/>
  <c r="BC47" i="17"/>
  <c r="H6" i="17"/>
  <c r="J12" i="17"/>
  <c r="BH12" i="17"/>
  <c r="BR14" i="17"/>
  <c r="BM41" i="17"/>
  <c r="H10" i="17"/>
  <c r="BD36" i="17"/>
  <c r="H24" i="17"/>
  <c r="BL50" i="17"/>
  <c r="BP11" i="17"/>
  <c r="BM26" i="17"/>
  <c r="BV30" i="17"/>
  <c r="BT9" i="17"/>
  <c r="BV22" i="17"/>
  <c r="L14" i="17"/>
  <c r="BK12" i="17"/>
  <c r="Q32" i="17"/>
  <c r="BS45" i="17"/>
  <c r="G6" i="17"/>
  <c r="BU31" i="17"/>
  <c r="H19" i="17"/>
  <c r="BT30" i="17"/>
  <c r="BO9" i="17"/>
  <c r="BK13" i="17"/>
  <c r="BY46" i="17"/>
  <c r="BP10" i="17"/>
  <c r="I6" i="17"/>
  <c r="BF38" i="17"/>
  <c r="AY44" i="17"/>
  <c r="I11" i="19"/>
  <c r="AM14" i="17" a="1"/>
  <c r="BJ7" i="17"/>
  <c r="BU40" i="17"/>
  <c r="J7" i="17"/>
  <c r="BN33" i="17"/>
  <c r="AY18" i="17"/>
  <c r="BT13" i="17"/>
  <c r="BK43" i="17"/>
  <c r="BN27" i="17"/>
  <c r="BM51" i="17"/>
  <c r="BO50" i="17"/>
  <c r="AX23" i="17"/>
  <c r="BZ42" i="17"/>
  <c r="BM25" i="17"/>
  <c r="BT45" i="17"/>
  <c r="L9" i="17"/>
  <c r="BZ44" i="17"/>
  <c r="BN10" i="17"/>
  <c r="BU20" i="17"/>
  <c r="BL47" i="17"/>
  <c r="BF35" i="17"/>
  <c r="BH14" i="17"/>
  <c r="BQ43" i="17"/>
  <c r="AA25" i="17"/>
  <c r="BC7" i="17"/>
  <c r="K34" i="19" a="1"/>
  <c r="BA18" i="17"/>
  <c r="BX11" i="17"/>
  <c r="BD25" i="17"/>
  <c r="G30" i="17"/>
  <c r="BS35" i="17"/>
  <c r="BA25" i="17"/>
  <c r="Q15" i="17"/>
  <c r="Q22" i="17"/>
  <c r="J40" i="19"/>
  <c r="I9" i="17"/>
  <c r="AX20" i="17"/>
  <c r="BO8" i="17"/>
  <c r="BP43" i="17"/>
  <c r="BC17" i="17"/>
  <c r="BS28" i="17"/>
  <c r="G26" i="17"/>
  <c r="J4" i="17"/>
  <c r="BM48" i="17"/>
  <c r="BJ26" i="17"/>
  <c r="BJ25" i="17"/>
  <c r="BJ33" i="17"/>
  <c r="BR36" i="17"/>
  <c r="BT23" i="17"/>
  <c r="BS47" i="17"/>
  <c r="BF40" i="17"/>
  <c r="Q28" i="17"/>
  <c r="BE11" i="17"/>
  <c r="BG16" i="17"/>
  <c r="AY47" i="17"/>
  <c r="BI50" i="17"/>
  <c r="BP48" i="17"/>
  <c r="BW50" i="17"/>
  <c r="BL11" i="17"/>
  <c r="BR21" i="17"/>
  <c r="BO42" i="17"/>
  <c r="H11" i="17"/>
  <c r="AQ14" i="17" a="1"/>
  <c r="L26" i="17"/>
  <c r="BM13" i="17"/>
  <c r="J7" i="19"/>
  <c r="J29" i="19"/>
  <c r="BG13" i="17"/>
  <c r="BR31" i="17"/>
  <c r="BF7" i="17"/>
  <c r="J8" i="19"/>
  <c r="J39" i="19"/>
  <c r="K13" i="19" a="1"/>
  <c r="J33" i="19"/>
  <c r="K38" i="19" a="1"/>
  <c r="I7" i="19"/>
  <c r="I24" i="19"/>
  <c r="J35" i="19"/>
  <c r="J26" i="19"/>
  <c r="K22" i="19" a="1"/>
  <c r="I16" i="19"/>
  <c r="I30" i="19"/>
  <c r="I32" i="19"/>
  <c r="J37" i="19"/>
  <c r="I8" i="19"/>
  <c r="AQ14" i="17" l="1"/>
  <c r="K34" i="19"/>
  <c r="AM14" i="17"/>
  <c r="K11" i="19"/>
  <c r="K16" i="19"/>
  <c r="AQ7" i="17"/>
  <c r="K9" i="19"/>
  <c r="K42" i="19"/>
  <c r="AS7" i="17"/>
  <c r="AN14" i="17"/>
  <c r="K7" i="19"/>
  <c r="K40" i="19"/>
  <c r="K10" i="19"/>
  <c r="AT7" i="17"/>
  <c r="AT14" i="17"/>
  <c r="K47" i="19"/>
  <c r="AP7" i="17"/>
  <c r="K45" i="19"/>
  <c r="K15" i="19"/>
  <c r="AO14" i="17"/>
  <c r="K44" i="19"/>
  <c r="K21" i="19"/>
  <c r="AR7" i="17"/>
  <c r="AL14" i="17"/>
  <c r="K26" i="19"/>
  <c r="AM7" i="17"/>
  <c r="AP14" i="17"/>
  <c r="K24" i="19"/>
  <c r="K20" i="19"/>
  <c r="K37" i="19"/>
  <c r="AS14" i="17"/>
  <c r="K28" i="19"/>
  <c r="K33" i="19"/>
  <c r="K32" i="19"/>
  <c r="AK7" i="17"/>
  <c r="AN7" i="17"/>
  <c r="K17" i="19"/>
  <c r="K43" i="19"/>
  <c r="AO7" i="17"/>
  <c r="K23" i="19"/>
  <c r="K36" i="19"/>
  <c r="K39" i="19"/>
  <c r="K29" i="19"/>
  <c r="AL7" i="17"/>
  <c r="AR14" i="17"/>
  <c r="K48" i="19"/>
  <c r="K31" i="19"/>
  <c r="K46" i="19"/>
  <c r="K27" i="19"/>
  <c r="AK14" i="17"/>
  <c r="K19" i="19"/>
  <c r="K25" i="19"/>
  <c r="K41" i="19"/>
  <c r="K30" i="19"/>
  <c r="K22" i="19"/>
  <c r="AI189" i="17"/>
  <c r="AI22" i="17"/>
  <c r="AI37" i="17"/>
  <c r="AI129" i="17"/>
  <c r="AI36" i="17"/>
  <c r="AI40" i="17"/>
  <c r="AI115" i="17"/>
  <c r="D37" i="19"/>
  <c r="AI126" i="17"/>
  <c r="AI67" i="17"/>
  <c r="AI145" i="17"/>
  <c r="D30" i="19"/>
  <c r="AI141" i="17"/>
  <c r="AI148" i="17"/>
  <c r="AI163" i="17"/>
  <c r="D24" i="19"/>
  <c r="AI157" i="17"/>
  <c r="AI28" i="17"/>
  <c r="AI88" i="17"/>
  <c r="AI161" i="17"/>
  <c r="AI172" i="17"/>
  <c r="AI66" i="17"/>
  <c r="AI142" i="17"/>
  <c r="AI169" i="17"/>
  <c r="AI10" i="17"/>
  <c r="AI86" i="17"/>
  <c r="AI9" i="17"/>
  <c r="AI165" i="17"/>
  <c r="AI63" i="17"/>
  <c r="AI138" i="17"/>
  <c r="AI151" i="17"/>
  <c r="AI17" i="17"/>
  <c r="AI191" i="17"/>
  <c r="K38" i="19"/>
  <c r="AI39" i="17"/>
  <c r="AI52" i="17"/>
  <c r="AI47" i="17"/>
  <c r="AI182" i="17"/>
  <c r="AI60" i="17"/>
  <c r="AI112" i="17"/>
  <c r="AI143" i="17"/>
  <c r="AI91" i="17"/>
  <c r="D33" i="19"/>
  <c r="AI102" i="17"/>
  <c r="AI78" i="17"/>
  <c r="AI19" i="17"/>
  <c r="K13" i="19"/>
  <c r="AI185" i="17"/>
  <c r="AI49" i="17"/>
  <c r="AI192" i="17"/>
  <c r="D16" i="19"/>
  <c r="AI166" i="17"/>
  <c r="AI50" i="17"/>
  <c r="AI186" i="17"/>
  <c r="D8" i="19"/>
  <c r="AI57" i="17"/>
  <c r="AI58" i="17"/>
  <c r="AI137" i="17"/>
  <c r="AI100" i="17"/>
  <c r="AI114" i="17"/>
  <c r="AI116" i="17"/>
  <c r="AI180" i="17"/>
  <c r="D35" i="19"/>
  <c r="AI64" i="17"/>
  <c r="AI87" i="17"/>
  <c r="AI94" i="17"/>
  <c r="AI96" i="17"/>
  <c r="AI32" i="17"/>
  <c r="AI72" i="17"/>
  <c r="AI131" i="17"/>
  <c r="AI158" i="17"/>
  <c r="AI59" i="17"/>
  <c r="AI68" i="17"/>
  <c r="AI33" i="17"/>
  <c r="AI179" i="17"/>
  <c r="AI11" i="17"/>
  <c r="AI121" i="17"/>
  <c r="AI93" i="17"/>
  <c r="AI45" i="17"/>
  <c r="AI127" i="17"/>
  <c r="AI99" i="17"/>
  <c r="AI92" i="17"/>
  <c r="AI79" i="17"/>
  <c r="AI155" i="17"/>
  <c r="AI177" i="17"/>
  <c r="AI103" i="17"/>
  <c r="AI149" i="17"/>
  <c r="AI107" i="17"/>
  <c r="AI42" i="17"/>
  <c r="AI25" i="17"/>
  <c r="AI109" i="17"/>
  <c r="AI120" i="17"/>
  <c r="AI108" i="17"/>
  <c r="AI130" i="17"/>
  <c r="AI61" i="17"/>
  <c r="AI75" i="17"/>
  <c r="AI74" i="17"/>
  <c r="AI105" i="17"/>
  <c r="D26" i="19"/>
  <c r="AI46" i="17"/>
  <c r="AI31" i="17"/>
  <c r="AI8" i="17"/>
  <c r="AI77" i="17"/>
  <c r="AI70" i="17"/>
  <c r="AI110" i="17"/>
  <c r="AI54" i="17"/>
  <c r="AI135" i="17"/>
  <c r="AI51" i="17"/>
  <c r="AI136" i="17"/>
  <c r="AI150" i="17"/>
  <c r="AI95" i="17"/>
  <c r="AI187" i="17"/>
  <c r="AI84" i="17"/>
  <c r="AI43" i="17"/>
  <c r="AI123" i="17"/>
  <c r="AI133" i="17"/>
  <c r="AI173" i="17"/>
  <c r="AI44" i="17"/>
  <c r="AI175" i="17"/>
  <c r="AI113" i="17"/>
  <c r="AI89" i="17"/>
  <c r="AI65" i="17"/>
  <c r="AI152" i="17"/>
  <c r="AI117" i="17"/>
  <c r="AI134" i="17"/>
  <c r="AI124" i="17"/>
  <c r="AI184" i="17"/>
  <c r="D32" i="19"/>
  <c r="AI122" i="17"/>
  <c r="AI38" i="17"/>
  <c r="AI71" i="17"/>
  <c r="AI85" i="17"/>
  <c r="AI98" i="17"/>
  <c r="AI106" i="17"/>
  <c r="AI82" i="17"/>
  <c r="AI176" i="17"/>
  <c r="AI30" i="17"/>
  <c r="AI171" i="17"/>
  <c r="AI119" i="17"/>
  <c r="AI190" i="17"/>
  <c r="AI35" i="17"/>
  <c r="AI56" i="17"/>
  <c r="AI81" i="17"/>
  <c r="D7" i="19"/>
  <c r="AI170" i="17"/>
  <c r="AI162" i="17"/>
  <c r="AI12" i="17"/>
  <c r="AI193" i="17"/>
  <c r="AI73" i="17"/>
  <c r="AI29" i="17"/>
  <c r="AI18" i="17"/>
  <c r="AI140" i="17"/>
  <c r="AI101" i="17"/>
  <c r="AI24" i="17"/>
  <c r="AI178" i="17"/>
  <c r="AI23" i="17"/>
  <c r="D39" i="19"/>
  <c r="AI194" i="17"/>
  <c r="AI128" i="17"/>
  <c r="AI144" i="17"/>
  <c r="AI147" i="17"/>
  <c r="AI159" i="17"/>
  <c r="AI168" i="17"/>
  <c r="AI156" i="17"/>
  <c r="AI154" i="17"/>
  <c r="AI164" i="17"/>
  <c r="AI15" i="17"/>
  <c r="AI80" i="17"/>
  <c r="AI183" i="17"/>
  <c r="AI53" i="17"/>
  <c r="Z26" i="17"/>
  <c r="X20" i="17"/>
  <c r="U5" i="17"/>
  <c r="L40" i="19" a="1"/>
  <c r="L15" i="19" a="1"/>
  <c r="AB27" i="17"/>
  <c r="W6" i="17"/>
  <c r="U13" i="17"/>
  <c r="L9" i="19" a="1"/>
  <c r="T23" i="17"/>
  <c r="K12" i="19" a="1"/>
  <c r="U22" i="17"/>
  <c r="AE27" i="17"/>
  <c r="X5" i="17"/>
  <c r="Z13" i="17"/>
  <c r="Z5" i="17"/>
  <c r="AE18" i="17"/>
  <c r="L32" i="19" a="1"/>
  <c r="AB31" i="17"/>
  <c r="AB30" i="17"/>
  <c r="L39" i="19" a="1"/>
  <c r="V16" i="17"/>
  <c r="W15" i="17"/>
  <c r="X31" i="17"/>
  <c r="L41" i="19" a="1"/>
  <c r="L13" i="19" a="1"/>
  <c r="AQ21" i="17" a="1"/>
  <c r="Y31" i="17"/>
  <c r="AM21" i="17" a="1"/>
  <c r="Y9" i="17"/>
  <c r="AM26" i="17" a="1"/>
  <c r="U32" i="17"/>
  <c r="V30" i="17"/>
  <c r="W28" i="17"/>
  <c r="T7" i="17"/>
  <c r="V27" i="17"/>
  <c r="Z28" i="17"/>
  <c r="T13" i="17"/>
  <c r="AB18" i="17"/>
  <c r="V11" i="17"/>
  <c r="V19" i="17"/>
  <c r="U15" i="17"/>
  <c r="W31" i="17"/>
  <c r="L10" i="19" a="1"/>
  <c r="T20" i="17"/>
  <c r="L44" i="19" a="1"/>
  <c r="Y17" i="17"/>
  <c r="L26" i="19" a="1"/>
  <c r="T27" i="17"/>
  <c r="X32" i="17"/>
  <c r="AE31" i="17"/>
  <c r="W22" i="17"/>
  <c r="L29" i="19" a="1"/>
  <c r="AB11" i="17"/>
  <c r="Z15" i="17"/>
  <c r="X11" i="17"/>
  <c r="T10" i="17"/>
  <c r="L24" i="19" a="1"/>
  <c r="AE16" i="17"/>
  <c r="Z11" i="17"/>
  <c r="U30" i="17"/>
  <c r="L38" i="19" a="1"/>
  <c r="AE8" i="17"/>
  <c r="Y23" i="17"/>
  <c r="AP21" i="17" a="1"/>
  <c r="AT21" i="17" a="1"/>
  <c r="AE28" i="17"/>
  <c r="U6" i="17"/>
  <c r="Y30" i="17"/>
  <c r="X18" i="17"/>
  <c r="L45" i="19" a="1"/>
  <c r="X30" i="17"/>
  <c r="U17" i="17"/>
  <c r="X6" i="17"/>
  <c r="X28" i="17"/>
  <c r="Y4" i="17"/>
  <c r="U12" i="17"/>
  <c r="W24" i="17"/>
  <c r="K8" i="19" a="1"/>
  <c r="Y20" i="17"/>
  <c r="AB16" i="17"/>
  <c r="AE11" i="17"/>
  <c r="T25" i="17"/>
  <c r="AB12" i="17"/>
  <c r="K18" i="19" a="1"/>
  <c r="T11" i="17"/>
  <c r="L31" i="19" a="1"/>
  <c r="AK26" i="17" a="1"/>
  <c r="Z29" i="17"/>
  <c r="X15" i="17"/>
  <c r="X25" i="17"/>
  <c r="AK21" i="17" a="1"/>
  <c r="W4" i="17"/>
  <c r="L25" i="19" a="1"/>
  <c r="W18" i="17"/>
  <c r="L33" i="19" a="1"/>
  <c r="AS26" i="17" a="1"/>
  <c r="AB28" i="17"/>
  <c r="AE32" i="17"/>
  <c r="Z10" i="17"/>
  <c r="T8" i="17"/>
  <c r="Y27" i="17"/>
  <c r="Y22" i="17"/>
  <c r="T21" i="17"/>
  <c r="I22" i="19"/>
  <c r="Y28" i="17"/>
  <c r="J32" i="19"/>
  <c r="AB25" i="17"/>
  <c r="Y25" i="17"/>
  <c r="AE12" i="17"/>
  <c r="AS21" i="17" a="1"/>
  <c r="U21" i="17"/>
  <c r="V26" i="17"/>
  <c r="AP16" i="17" a="1"/>
  <c r="X9" i="17"/>
  <c r="Y32" i="17"/>
  <c r="AR26" i="17" a="1"/>
  <c r="U18" i="17"/>
  <c r="AB29" i="17"/>
  <c r="AB6" i="17"/>
  <c r="X4" i="17"/>
  <c r="AB32" i="17"/>
  <c r="Y19" i="17"/>
  <c r="X22" i="17"/>
  <c r="U27" i="17"/>
  <c r="U16" i="17"/>
  <c r="V23" i="17"/>
  <c r="T18" i="17"/>
  <c r="X19" i="17"/>
  <c r="T14" i="17"/>
  <c r="Y26" i="17"/>
  <c r="T30" i="17"/>
  <c r="AE25" i="17"/>
  <c r="L23" i="19" a="1"/>
  <c r="AB5" i="17"/>
  <c r="Z17" i="17"/>
  <c r="W27" i="17"/>
  <c r="X21" i="17"/>
  <c r="Y13" i="17"/>
  <c r="AR16" i="17" a="1"/>
  <c r="AO16" i="17" a="1"/>
  <c r="AO26" i="17" a="1"/>
  <c r="V13" i="17"/>
  <c r="L47" i="19" a="1"/>
  <c r="I40" i="19"/>
  <c r="Z23" i="17"/>
  <c r="AL26" i="17" a="1"/>
  <c r="Z7" i="17"/>
  <c r="L21" i="19" a="1"/>
  <c r="AB7" i="17"/>
  <c r="V14" i="17"/>
  <c r="AB15" i="17"/>
  <c r="T15" i="17"/>
  <c r="Y21" i="17"/>
  <c r="W13" i="17"/>
  <c r="AE17" i="17"/>
  <c r="U14" i="17"/>
  <c r="L19" i="19" a="1"/>
  <c r="L11" i="19" a="1"/>
  <c r="Z31" i="17"/>
  <c r="X23" i="17"/>
  <c r="U7" i="17"/>
  <c r="T16" i="17"/>
  <c r="AR21" i="17" a="1"/>
  <c r="W10" i="17"/>
  <c r="Y29" i="17"/>
  <c r="I15" i="19"/>
  <c r="V25" i="17"/>
  <c r="V22" i="17"/>
  <c r="Z9" i="17"/>
  <c r="Z32" i="17"/>
  <c r="AE23" i="17"/>
  <c r="W8" i="17"/>
  <c r="V29" i="17"/>
  <c r="Y10" i="17"/>
  <c r="Y7" i="17"/>
  <c r="AB8" i="17"/>
  <c r="AE26" i="17"/>
  <c r="AE6" i="17"/>
  <c r="AB23" i="17"/>
  <c r="L28" i="19" a="1"/>
  <c r="AE30" i="17"/>
  <c r="U26" i="17"/>
  <c r="Z14" i="17"/>
  <c r="Y12" i="17"/>
  <c r="W5" i="17"/>
  <c r="Z24" i="17"/>
  <c r="Z22" i="17"/>
  <c r="AE9" i="17"/>
  <c r="AB21" i="17"/>
  <c r="AB19" i="17"/>
  <c r="Z18" i="17"/>
  <c r="U31" i="17"/>
  <c r="W17" i="17"/>
  <c r="Z16" i="17"/>
  <c r="T32" i="17"/>
  <c r="AE5" i="17"/>
  <c r="K14" i="19" a="1"/>
  <c r="W12" i="17"/>
  <c r="L27" i="19" a="1"/>
  <c r="Y14" i="17"/>
  <c r="AO21" i="17" a="1"/>
  <c r="AQ26" i="17" a="1"/>
  <c r="AL21" i="17" a="1"/>
  <c r="X12" i="17"/>
  <c r="V8" i="17"/>
  <c r="AE24" i="17"/>
  <c r="L17" i="19" a="1"/>
  <c r="AE13" i="17"/>
  <c r="AE15" i="17"/>
  <c r="V12" i="17"/>
  <c r="AB24" i="17"/>
  <c r="X24" i="17"/>
  <c r="Z21" i="17"/>
  <c r="U28" i="17"/>
  <c r="U8" i="17"/>
  <c r="Y8" i="17"/>
  <c r="Y11" i="17"/>
  <c r="T9" i="17"/>
  <c r="T22" i="17"/>
  <c r="L37" i="19" a="1"/>
  <c r="AB17" i="17"/>
  <c r="T24" i="17"/>
  <c r="W30" i="17"/>
  <c r="W25" i="17"/>
  <c r="V18" i="17"/>
  <c r="U4" i="17"/>
  <c r="U25" i="17"/>
  <c r="T29" i="17"/>
  <c r="W20" i="17"/>
  <c r="AK16" i="17" a="1"/>
  <c r="AB26" i="17"/>
  <c r="V4" i="17"/>
  <c r="X8" i="17"/>
  <c r="X14" i="17"/>
  <c r="U29" i="17"/>
  <c r="W9" i="17"/>
  <c r="V24" i="17"/>
  <c r="L16" i="19" a="1"/>
  <c r="L42" i="19" a="1"/>
  <c r="K35" i="19" a="1"/>
  <c r="AA4" i="17"/>
  <c r="AE14" i="17"/>
  <c r="AB9" i="17"/>
  <c r="AE21" i="17"/>
  <c r="AE19" i="17"/>
  <c r="L20" i="19" a="1"/>
  <c r="V31" i="17"/>
  <c r="W14" i="17"/>
  <c r="V15" i="17"/>
  <c r="U19" i="17"/>
  <c r="V20" i="17"/>
  <c r="X26" i="17"/>
  <c r="V7" i="17"/>
  <c r="L30" i="19" a="1"/>
  <c r="AN21" i="17" a="1"/>
  <c r="AQ16" i="17" a="1"/>
  <c r="AN16" i="17" a="1"/>
  <c r="AT26" i="17" a="1"/>
  <c r="AP26" i="17" a="1"/>
  <c r="AE22" i="17"/>
  <c r="T12" i="17"/>
  <c r="Y18" i="17"/>
  <c r="X16" i="17"/>
  <c r="X27" i="17"/>
  <c r="Y24" i="17"/>
  <c r="V28" i="17"/>
  <c r="AS16" i="17" a="1"/>
  <c r="V6" i="17"/>
  <c r="U23" i="17"/>
  <c r="AE10" i="17"/>
  <c r="X13" i="17"/>
  <c r="W21" i="17"/>
  <c r="V32" i="17"/>
  <c r="U24" i="17"/>
  <c r="Y15" i="17"/>
  <c r="T17" i="17"/>
  <c r="AE7" i="17"/>
  <c r="V17" i="17"/>
  <c r="L7" i="19" a="1"/>
  <c r="V21" i="17"/>
  <c r="Z19" i="17"/>
  <c r="X17" i="17"/>
  <c r="Z30" i="17"/>
  <c r="L34" i="19" a="1"/>
  <c r="Z8" i="17"/>
  <c r="AE29" i="17"/>
  <c r="V9" i="17"/>
  <c r="U11" i="17"/>
  <c r="L43" i="19" a="1"/>
  <c r="W7" i="17"/>
  <c r="I12" i="19"/>
  <c r="Z20" i="17"/>
  <c r="W32" i="17"/>
  <c r="Z12" i="17"/>
  <c r="W29" i="17"/>
  <c r="Z25" i="17"/>
  <c r="AE20" i="17"/>
  <c r="L46" i="19" a="1"/>
  <c r="AL16" i="17" a="1"/>
  <c r="L36" i="19" a="1"/>
  <c r="AB20" i="17"/>
  <c r="AB22" i="17"/>
  <c r="V10" i="17"/>
  <c r="I9" i="19"/>
  <c r="W26" i="17"/>
  <c r="W11" i="17"/>
  <c r="AB14" i="17"/>
  <c r="Y16" i="17"/>
  <c r="Z27" i="17"/>
  <c r="T26" i="17"/>
  <c r="U20" i="17"/>
  <c r="T19" i="17"/>
  <c r="T28" i="17"/>
  <c r="W19" i="17"/>
  <c r="T31" i="17"/>
  <c r="I37" i="19"/>
  <c r="AB13" i="17"/>
  <c r="U9" i="17"/>
  <c r="AN26" i="17" a="1"/>
  <c r="W16" i="17"/>
  <c r="U10" i="17"/>
  <c r="AT16" i="17" a="1"/>
  <c r="X29" i="17"/>
  <c r="AB10" i="17"/>
  <c r="AM16" i="17" a="1"/>
  <c r="Y5" i="17"/>
  <c r="X10" i="17"/>
  <c r="W23" i="17"/>
  <c r="L48" i="19" a="1"/>
  <c r="X7" i="17"/>
  <c r="L22" i="19" a="1"/>
  <c r="L48" i="19" l="1"/>
  <c r="L36" i="19"/>
  <c r="L46" i="19"/>
  <c r="L43" i="19"/>
  <c r="L34" i="19"/>
  <c r="L7" i="19"/>
  <c r="L30" i="19"/>
  <c r="L20" i="19"/>
  <c r="K35" i="19"/>
  <c r="L42" i="19"/>
  <c r="L16" i="19"/>
  <c r="L37" i="19"/>
  <c r="L17" i="19"/>
  <c r="L27" i="19"/>
  <c r="K14" i="19"/>
  <c r="L28" i="19"/>
  <c r="L11" i="19"/>
  <c r="L19" i="19"/>
  <c r="L21" i="19"/>
  <c r="L47" i="19"/>
  <c r="L23" i="19"/>
  <c r="L33" i="19"/>
  <c r="L25" i="19"/>
  <c r="L31" i="19"/>
  <c r="K18" i="19"/>
  <c r="K8" i="19"/>
  <c r="L45" i="19"/>
  <c r="L24" i="19"/>
  <c r="L29" i="19"/>
  <c r="L26" i="19"/>
  <c r="L44" i="19"/>
  <c r="L10" i="19"/>
  <c r="L41" i="19"/>
  <c r="L39" i="19"/>
  <c r="L32" i="19"/>
  <c r="K12" i="19"/>
  <c r="L9" i="19"/>
  <c r="L15" i="19"/>
  <c r="L40" i="19"/>
  <c r="AO26" i="17"/>
  <c r="AT26" i="17"/>
  <c r="AL21" i="17"/>
  <c r="AQ21" i="17"/>
  <c r="AP21" i="17"/>
  <c r="AR26" i="17"/>
  <c r="AM26" i="17"/>
  <c r="AK26" i="17"/>
  <c r="AT16" i="17"/>
  <c r="AP26" i="17"/>
  <c r="AN16" i="17"/>
  <c r="AQ26" i="17"/>
  <c r="AO16" i="17"/>
  <c r="L13" i="19"/>
  <c r="AS26" i="17"/>
  <c r="AL16" i="17"/>
  <c r="L38" i="19"/>
  <c r="AR21" i="17"/>
  <c r="AM16" i="17"/>
  <c r="AO21" i="17"/>
  <c r="AR16" i="17"/>
  <c r="AT21" i="17"/>
  <c r="AK16" i="17"/>
  <c r="AP16" i="17"/>
  <c r="AL26" i="17"/>
  <c r="AN26" i="17"/>
  <c r="AQ16" i="17"/>
  <c r="AK21" i="17"/>
  <c r="AM21" i="17"/>
  <c r="AS16" i="17"/>
  <c r="AN21" i="17"/>
  <c r="AS21" i="17"/>
  <c r="L22" i="19"/>
  <c r="M48" i="19" a="1"/>
  <c r="M11" i="19" a="1"/>
  <c r="M41" i="19" a="1"/>
  <c r="AS110" i="17" a="1"/>
  <c r="AP172" i="17" a="1"/>
  <c r="AS129" i="17" a="1"/>
  <c r="AN190" i="17" a="1"/>
  <c r="AQ120" i="17" a="1"/>
  <c r="AQ135" i="17" a="1"/>
  <c r="AT183" i="17" a="1"/>
  <c r="AR63" i="17" a="1"/>
  <c r="AQ66" i="17" a="1"/>
  <c r="AQ43" i="17" a="1"/>
  <c r="AN155" i="17" a="1"/>
  <c r="AT56" i="17" a="1"/>
  <c r="AQ80" i="17" a="1"/>
  <c r="AM183" i="17" a="1"/>
  <c r="AL53" i="17" a="1"/>
  <c r="AQ99" i="17" a="1"/>
  <c r="AP15" i="17" a="1"/>
  <c r="AS46" i="17" a="1"/>
  <c r="AQ36" i="17" a="1"/>
  <c r="AQ37" i="17" a="1"/>
  <c r="AO71" i="17" a="1"/>
  <c r="AR22" i="17" a="1"/>
  <c r="AS182" i="17" a="1"/>
  <c r="AO133" i="17" a="1"/>
  <c r="AK15" i="17" a="1"/>
  <c r="AP46" i="17" a="1"/>
  <c r="AL36" i="17" a="1"/>
  <c r="AR165" i="17" a="1"/>
  <c r="AN93" i="17" a="1"/>
  <c r="AP180" i="17" a="1"/>
  <c r="AT33" i="17" a="1"/>
  <c r="AT134" i="17" a="1"/>
  <c r="AR74" i="17" a="1"/>
  <c r="AT171" i="17" a="1"/>
  <c r="AM107" i="17" a="1"/>
  <c r="AK193" i="17" a="1"/>
  <c r="AS94" i="17" a="1"/>
  <c r="AL99" i="17" a="1"/>
  <c r="AT152" i="17" a="1"/>
  <c r="AL108" i="17" a="1"/>
  <c r="AR145" i="17" a="1"/>
  <c r="AR19" i="17" a="1"/>
  <c r="AT37" i="17" a="1"/>
  <c r="AO168" i="17" a="1"/>
  <c r="AR52" i="17" a="1"/>
  <c r="AQ180" i="17" a="1"/>
  <c r="AQ161" i="17" a="1"/>
  <c r="AN80" i="17" a="1"/>
  <c r="AT117" i="17" a="1"/>
  <c r="AL117" i="17" a="1"/>
  <c r="AQ117" i="17" a="1"/>
  <c r="AO117" i="17" a="1"/>
  <c r="AO98" i="17" a="1"/>
  <c r="AK154" i="17" a="1"/>
  <c r="AO46" i="17" a="1"/>
  <c r="AM85" i="17" a="1"/>
  <c r="AN25" i="17" a="1"/>
  <c r="AN35" i="17" a="1"/>
  <c r="AL172" i="17" a="1"/>
  <c r="AN23" i="17" a="1"/>
  <c r="AP170" i="17" a="1"/>
  <c r="AQ53" i="17" a="1"/>
  <c r="AR100" i="17" a="1"/>
  <c r="AQ133" i="17" a="1"/>
  <c r="AO91" i="17" a="1"/>
  <c r="AQ30" i="17" a="1"/>
  <c r="AO79" i="17" a="1"/>
  <c r="AK143" i="17" a="1"/>
  <c r="AK44" i="17" a="1"/>
  <c r="AN141" i="17" a="1"/>
  <c r="AS40" i="17" a="1"/>
  <c r="AS10" i="17" a="1"/>
  <c r="AQ129" i="17" a="1"/>
  <c r="AL156" i="17" a="1"/>
  <c r="AN177" i="17" a="1"/>
  <c r="AQ57" i="17" a="1"/>
  <c r="AT123" i="17" a="1"/>
  <c r="AQ165" i="17" a="1"/>
  <c r="AT89" i="17" a="1"/>
  <c r="AM78" i="17" a="1"/>
  <c r="AM116" i="17" a="1"/>
  <c r="M38" i="19" a="1"/>
  <c r="AL107" i="17" a="1"/>
  <c r="AK155" i="17" a="1"/>
  <c r="AR186" i="17" a="1"/>
  <c r="AO149" i="17" a="1"/>
  <c r="AO94" i="17" a="1"/>
  <c r="AO162" i="17" a="1"/>
  <c r="AN123" i="17" a="1"/>
  <c r="AL50" i="17" a="1"/>
  <c r="AO105" i="17" a="1"/>
  <c r="AL101" i="17" a="1"/>
  <c r="AS187" i="17" a="1"/>
  <c r="AR28" i="17" a="1"/>
  <c r="AP64" i="17" a="1"/>
  <c r="AT32" i="17" a="1"/>
  <c r="AM95" i="17" a="1"/>
  <c r="AQ190" i="17" a="1"/>
  <c r="AN164" i="17" a="1"/>
  <c r="M36" i="19" a="1"/>
  <c r="M19" i="19" a="1"/>
  <c r="M39" i="19" a="1"/>
  <c r="AM186" i="17" a="1"/>
  <c r="AS175" i="17" a="1"/>
  <c r="AS159" i="17" a="1"/>
  <c r="AS100" i="17" a="1"/>
  <c r="AQ64" i="17" a="1"/>
  <c r="AN101" i="17" a="1"/>
  <c r="AN127" i="17" a="1"/>
  <c r="AT127" i="17" a="1"/>
  <c r="AM163" i="17" a="1"/>
  <c r="AP149" i="17" a="1"/>
  <c r="AM58" i="17" a="1"/>
  <c r="AR9" i="17" a="1"/>
  <c r="AM50" i="17" a="1"/>
  <c r="AT65" i="17" a="1"/>
  <c r="AS99" i="17" a="1"/>
  <c r="AM154" i="17" a="1"/>
  <c r="AP171" i="17" a="1"/>
  <c r="AP107" i="17" a="1"/>
  <c r="AP193" i="17" a="1"/>
  <c r="AM81" i="17" a="1"/>
  <c r="AN99" i="17" a="1"/>
  <c r="AL152" i="17" a="1"/>
  <c r="AR11" i="17" a="1"/>
  <c r="AR152" i="17" a="1"/>
  <c r="AR171" i="17" a="1"/>
  <c r="AQ107" i="17" a="1"/>
  <c r="AS193" i="17" a="1"/>
  <c r="AP56" i="17" a="1"/>
  <c r="AR166" i="17" a="1"/>
  <c r="AL67" i="17" a="1"/>
  <c r="AK187" i="17" a="1"/>
  <c r="AR79" i="17" a="1"/>
  <c r="AS179" i="17" a="1"/>
  <c r="AK29" i="17" a="1"/>
  <c r="AR95" i="17" a="1"/>
  <c r="AK192" i="17" a="1"/>
  <c r="AP189" i="17" a="1"/>
  <c r="AR75" i="17" a="1"/>
  <c r="AS93" i="17" a="1"/>
  <c r="AR180" i="17" a="1"/>
  <c r="AM88" i="17" a="1"/>
  <c r="AN94" i="17" a="1"/>
  <c r="AM117" i="17" a="1"/>
  <c r="AR96" i="17" a="1"/>
  <c r="AK30" i="17" a="1"/>
  <c r="AR128" i="17" a="1"/>
  <c r="AP120" i="17" a="1"/>
  <c r="AN72" i="17" a="1"/>
  <c r="AK38" i="17" a="1"/>
  <c r="AP61" i="17" a="1"/>
  <c r="AS127" i="17" a="1"/>
  <c r="AP177" i="17" a="1"/>
  <c r="AQ75" i="17" a="1"/>
  <c r="AK124" i="17" a="1"/>
  <c r="AN56" i="17" a="1"/>
  <c r="AS183" i="17" a="1"/>
  <c r="AM108" i="17" a="1"/>
  <c r="AR73" i="17" a="1"/>
  <c r="AK45" i="17" a="1"/>
  <c r="AM38" i="17" a="1"/>
  <c r="AQ50" i="17" a="1"/>
  <c r="AM45" i="17" a="1"/>
  <c r="AP152" i="17" a="1"/>
  <c r="AL133" i="17" a="1"/>
  <c r="AK39" i="17" a="1"/>
  <c r="AS37" i="17" a="1"/>
  <c r="AN162" i="17" a="1"/>
  <c r="AO172" i="17" a="1"/>
  <c r="AR119" i="17" a="1"/>
  <c r="AR137" i="17" a="1"/>
  <c r="AP140" i="17" a="1"/>
  <c r="AR12" i="17" a="1"/>
  <c r="AT170" i="17" a="1"/>
  <c r="AT28" i="17" a="1"/>
  <c r="AK165" i="17" a="1"/>
  <c r="AL106" i="17" a="1"/>
  <c r="AN157" i="17" a="1"/>
  <c r="AS121" i="17" a="1"/>
  <c r="AS79" i="17" a="1"/>
  <c r="AN51" i="17" a="1"/>
  <c r="AK82" i="17" a="1"/>
  <c r="AS143" i="17" a="1"/>
  <c r="AT35" i="17" a="1"/>
  <c r="AL115" i="17" a="1"/>
  <c r="AQ186" i="17" a="1"/>
  <c r="AS114" i="17" a="1"/>
  <c r="AK63" i="17" a="1"/>
  <c r="AO58" i="17" a="1"/>
  <c r="AQ151" i="17" a="1"/>
  <c r="AR78" i="17" a="1"/>
  <c r="AN9" i="17" a="1"/>
  <c r="AP194" i="17" a="1"/>
  <c r="AS89" i="17" a="1"/>
  <c r="AR85" i="17" a="1"/>
  <c r="AL140" i="17" a="1"/>
  <c r="AQ173" i="17" a="1"/>
  <c r="M46" i="19" a="1"/>
  <c r="M21" i="19" a="1"/>
  <c r="M32" i="19" a="1"/>
  <c r="AS178" i="17" a="1"/>
  <c r="AN60" i="17" a="1"/>
  <c r="AT73" i="17" a="1"/>
  <c r="AR147" i="17" a="1"/>
  <c r="AN10" i="17" a="1"/>
  <c r="AK182" i="17" a="1"/>
  <c r="AM63" i="17" a="1"/>
  <c r="AL64" i="17" a="1"/>
  <c r="AN110" i="17" a="1"/>
  <c r="AN172" i="17" a="1"/>
  <c r="AO129" i="17" a="1"/>
  <c r="AT190" i="17" a="1"/>
  <c r="AR120" i="17" a="1"/>
  <c r="AL127" i="17" a="1"/>
  <c r="AK189" i="17" a="1"/>
  <c r="AM151" i="17" a="1"/>
  <c r="AQ179" i="17" a="1"/>
  <c r="AQ29" i="17" a="1"/>
  <c r="AP98" i="17" a="1"/>
  <c r="AT192" i="17" a="1"/>
  <c r="AQ189" i="17" a="1"/>
  <c r="AL75" i="17" a="1"/>
  <c r="AS74" i="17" a="1"/>
  <c r="AO61" i="17" a="1"/>
  <c r="AN179" i="17" a="1"/>
  <c r="AL29" i="17" a="1"/>
  <c r="AR98" i="17" a="1"/>
  <c r="AS9" i="17" a="1"/>
  <c r="AP112" i="17" a="1"/>
  <c r="AP42" i="17" a="1"/>
  <c r="AM137" i="17" a="1"/>
  <c r="AR158" i="17" a="1"/>
  <c r="AK52" i="17" a="1"/>
  <c r="AN184" i="17" a="1"/>
  <c r="AL105" i="17" a="1"/>
  <c r="AM165" i="17" a="1"/>
  <c r="AT54" i="17" a="1"/>
  <c r="AR138" i="17" a="1"/>
  <c r="AO166" i="17" a="1"/>
  <c r="AK46" i="17" a="1"/>
  <c r="AQ144" i="17" a="1"/>
  <c r="AP45" i="17" a="1"/>
  <c r="AK22" i="17" a="1"/>
  <c r="AM24" i="17" a="1"/>
  <c r="AK142" i="17" a="1"/>
  <c r="AP134" i="17" a="1"/>
  <c r="AP182" i="17" a="1"/>
  <c r="AR61" i="17" a="1"/>
  <c r="AS177" i="17" a="1"/>
  <c r="AM93" i="17" a="1"/>
  <c r="AP115" i="17" a="1"/>
  <c r="AL94" i="17" a="1"/>
  <c r="AT87" i="17" a="1"/>
  <c r="AM144" i="17" a="1"/>
  <c r="AS116" i="17" a="1"/>
  <c r="AK87" i="17" a="1"/>
  <c r="AL166" i="17" a="1"/>
  <c r="AS84" i="17" a="1"/>
  <c r="AR190" i="17" a="1"/>
  <c r="AS170" i="17" a="1"/>
  <c r="AO47" i="17" a="1"/>
  <c r="AS71" i="17" a="1"/>
  <c r="AO184" i="17" a="1"/>
  <c r="AS152" i="17" a="1"/>
  <c r="AR36" i="17" a="1"/>
  <c r="AR10" i="17" a="1"/>
  <c r="AR32" i="17" a="1"/>
  <c r="AL144" i="17" a="1"/>
  <c r="AM185" i="17" a="1"/>
  <c r="AM191" i="17" a="1"/>
  <c r="AO126" i="17" a="1"/>
  <c r="AM150" i="17" a="1"/>
  <c r="AT61" i="17" a="1"/>
  <c r="AS77" i="17" a="1"/>
  <c r="AS31" i="17" a="1"/>
  <c r="AT36" i="17" a="1"/>
  <c r="AL122" i="17" a="1"/>
  <c r="AT114" i="17" a="1"/>
  <c r="AR192" i="17" a="1"/>
  <c r="AO109" i="17" a="1"/>
  <c r="AP186" i="17" a="1"/>
  <c r="AM149" i="17" a="1"/>
  <c r="AT148" i="17" a="1"/>
  <c r="AK108" i="17" a="1"/>
  <c r="AK106" i="17" a="1"/>
  <c r="AK50" i="17" a="1"/>
  <c r="AN82" i="17" a="1"/>
  <c r="AT186" i="17" a="1"/>
  <c r="AP85" i="17" a="1"/>
  <c r="AL65" i="17" a="1"/>
  <c r="AN79" i="17" a="1"/>
  <c r="AT71" i="17" a="1"/>
  <c r="AQ91" i="17" a="1"/>
  <c r="AO121" i="17" a="1"/>
  <c r="AP192" i="17" a="1"/>
  <c r="AQ157" i="17" a="1"/>
  <c r="AT30" i="17" a="1"/>
  <c r="M43" i="19" a="1"/>
  <c r="M47" i="19" a="1"/>
  <c r="L12" i="19" a="1"/>
  <c r="AK113" i="17" a="1"/>
  <c r="AK164" i="17" a="1"/>
  <c r="AS124" i="17" a="1"/>
  <c r="AL177" i="17" a="1"/>
  <c r="AT169" i="17" a="1"/>
  <c r="AS25" i="17" a="1"/>
  <c r="AM135" i="17" a="1"/>
  <c r="AQ136" i="17" a="1"/>
  <c r="AS186" i="17" a="1"/>
  <c r="AN175" i="17" a="1"/>
  <c r="AL159" i="17" a="1"/>
  <c r="AM100" i="17" a="1"/>
  <c r="AN64" i="17" a="1"/>
  <c r="AS101" i="17" a="1"/>
  <c r="AS102" i="17" a="1"/>
  <c r="AP80" i="17" a="1"/>
  <c r="AQ65" i="17" a="1"/>
  <c r="AT52" i="17" a="1"/>
  <c r="AM82" i="17" a="1"/>
  <c r="AN105" i="17" a="1"/>
  <c r="AP165" i="17" a="1"/>
  <c r="AL54" i="17" a="1"/>
  <c r="AL138" i="17" a="1"/>
  <c r="AS75" i="17" a="1"/>
  <c r="AP52" i="17" a="1"/>
  <c r="AP82" i="17" a="1"/>
  <c r="AP105" i="17" a="1"/>
  <c r="AK8" i="17" a="1"/>
  <c r="AR141" i="17" a="1"/>
  <c r="AL142" i="17" a="1"/>
  <c r="AM19" i="17" a="1"/>
  <c r="AR102" i="17" a="1"/>
  <c r="AS96" i="17" a="1"/>
  <c r="AN43" i="17" a="1"/>
  <c r="AK59" i="17" a="1"/>
  <c r="AK56" i="17" a="1"/>
  <c r="AS80" i="17" a="1"/>
  <c r="AP38" i="17" a="1"/>
  <c r="AQ86" i="17" a="1"/>
  <c r="AM114" i="17" a="1"/>
  <c r="AT193" i="17" a="1"/>
  <c r="AK9" i="17" a="1"/>
  <c r="AS138" i="17" a="1"/>
  <c r="AL46" i="17" a="1"/>
  <c r="AN158" i="17" a="1"/>
  <c r="AR156" i="17" a="1"/>
  <c r="AQ73" i="17" a="1"/>
  <c r="AM94" i="17" a="1"/>
  <c r="AL119" i="17" a="1"/>
  <c r="AO100" i="17" a="1"/>
  <c r="AK116" i="17" a="1"/>
  <c r="AQ164" i="17" a="1"/>
  <c r="AN161" i="17" a="1"/>
  <c r="AR91" i="17" a="1"/>
  <c r="AK179" i="17" a="1"/>
  <c r="AK141" i="17" a="1"/>
  <c r="AL40" i="17" a="1"/>
  <c r="AT10" i="17" a="1"/>
  <c r="AK32" i="17" a="1"/>
  <c r="AT151" i="17" a="1"/>
  <c r="AR133" i="17" a="1"/>
  <c r="AM177" i="17" a="1"/>
  <c r="AQ89" i="17" a="1"/>
  <c r="AQ177" i="17" a="1"/>
  <c r="AM157" i="17" a="1"/>
  <c r="AK86" i="17" a="1"/>
  <c r="AO128" i="17" a="1"/>
  <c r="AM96" i="17" a="1"/>
  <c r="AT144" i="17" a="1"/>
  <c r="AO136" i="17" a="1"/>
  <c r="AO28" i="17" a="1"/>
  <c r="AQ12" i="17" a="1"/>
  <c r="AR92" i="17" a="1"/>
  <c r="AN91" i="17" a="1"/>
  <c r="AT85" i="17" a="1"/>
  <c r="AK74" i="17" a="1"/>
  <c r="AO33" i="17" a="1"/>
  <c r="AT140" i="17" a="1"/>
  <c r="AO72" i="17" a="1"/>
  <c r="AR35" i="17" a="1"/>
  <c r="AO115" i="17" a="1"/>
  <c r="AR194" i="17" a="1"/>
  <c r="AT166" i="17" a="1"/>
  <c r="AQ84" i="17" a="1"/>
  <c r="AM127" i="17" a="1"/>
  <c r="AK186" i="17" a="1"/>
  <c r="AQ149" i="17" a="1"/>
  <c r="AT108" i="17" a="1"/>
  <c r="AO57" i="17" a="1"/>
  <c r="AP114" i="17" a="1"/>
  <c r="AT64" i="17" a="1"/>
  <c r="AQ101" i="17" a="1"/>
  <c r="AO122" i="17" a="1"/>
  <c r="AT142" i="17" a="1"/>
  <c r="AS140" i="17" a="1"/>
  <c r="AM122" i="17" a="1"/>
  <c r="AN49" i="17" a="1"/>
  <c r="AR184" i="17" a="1"/>
  <c r="M34" i="19" a="1"/>
  <c r="M23" i="19" a="1"/>
  <c r="M9" i="19" a="1"/>
  <c r="AS70" i="17" a="1"/>
  <c r="AO145" i="17" a="1"/>
  <c r="AR84" i="17" a="1"/>
  <c r="AS12" i="17" a="1"/>
  <c r="AO31" i="17" a="1"/>
  <c r="AM156" i="17" a="1"/>
  <c r="AQ63" i="17" a="1"/>
  <c r="AM54" i="17" a="1"/>
  <c r="AN178" i="17" a="1"/>
  <c r="AP60" i="17" a="1"/>
  <c r="AN73" i="17" a="1"/>
  <c r="AQ147" i="17" a="1"/>
  <c r="AP10" i="17" a="1"/>
  <c r="AL182" i="17" a="1"/>
  <c r="AM31" i="17" a="1"/>
  <c r="AN120" i="17" a="1"/>
  <c r="M13" i="19" a="1"/>
  <c r="AT66" i="17" a="1"/>
  <c r="AM43" i="17" a="1"/>
  <c r="AN59" i="17" a="1"/>
  <c r="AO56" i="17" a="1"/>
  <c r="AM80" i="17" a="1"/>
  <c r="AO183" i="17" a="1"/>
  <c r="AO65" i="17" a="1"/>
  <c r="AO66" i="17" a="1"/>
  <c r="AR43" i="17" a="1"/>
  <c r="AS59" i="17" a="1"/>
  <c r="AM99" i="17" a="1"/>
  <c r="AP89" i="17" a="1"/>
  <c r="AT176" i="17" a="1"/>
  <c r="AQ88" i="17" a="1"/>
  <c r="AK17" i="17" a="1"/>
  <c r="AO163" i="17" a="1"/>
  <c r="AS39" i="17" a="1"/>
  <c r="AQ58" i="17" a="1"/>
  <c r="AP9" i="17" a="1"/>
  <c r="AP122" i="17" a="1"/>
  <c r="AN65" i="17" a="1"/>
  <c r="AO141" i="17" a="1"/>
  <c r="AM29" i="17" a="1"/>
  <c r="AO95" i="17" a="1"/>
  <c r="AR77" i="17" a="1"/>
  <c r="AR38" i="17" a="1"/>
  <c r="AT29" i="17" a="1"/>
  <c r="AR17" i="17" a="1"/>
  <c r="AN47" i="17" a="1"/>
  <c r="AP81" i="17" a="1"/>
  <c r="AR8" i="17" a="1"/>
  <c r="AQ185" i="17" a="1"/>
  <c r="AN57" i="17" a="1"/>
  <c r="AN71" i="17" a="1"/>
  <c r="AO123" i="17" a="1"/>
  <c r="AL102" i="17" a="1"/>
  <c r="AK11" i="17" a="1"/>
  <c r="AK110" i="17" a="1"/>
  <c r="AQ15" i="17" a="1"/>
  <c r="AS137" i="17" a="1"/>
  <c r="AK140" i="17" a="1"/>
  <c r="AP84" i="17" a="1"/>
  <c r="AM72" i="17" a="1"/>
  <c r="AR72" i="17" a="1"/>
  <c r="AR45" i="17" a="1"/>
  <c r="AR175" i="17" a="1"/>
  <c r="AK28" i="17" a="1"/>
  <c r="AQ109" i="17" a="1"/>
  <c r="AL110" i="17" a="1"/>
  <c r="AM23" i="17" a="1"/>
  <c r="AP110" i="17" a="1"/>
  <c r="AQ95" i="17" a="1"/>
  <c r="AS157" i="17" a="1"/>
  <c r="AP23" i="17" a="1"/>
  <c r="AL45" i="17" a="1"/>
  <c r="AK54" i="17" a="1"/>
  <c r="AM47" i="17" a="1"/>
  <c r="AL165" i="17" a="1"/>
  <c r="AT135" i="17" a="1"/>
  <c r="AL98" i="17" a="1"/>
  <c r="AR51" i="17" a="1"/>
  <c r="AS86" i="17" a="1"/>
  <c r="AO108" i="17" a="1"/>
  <c r="AM40" i="17" a="1"/>
  <c r="AO171" i="17" a="1"/>
  <c r="AR130" i="17" a="1"/>
  <c r="AQ40" i="17" a="1"/>
  <c r="AL28" i="17" a="1"/>
  <c r="AS35" i="17" a="1"/>
  <c r="AT115" i="17" a="1"/>
  <c r="AN112" i="17" a="1"/>
  <c r="AS23" i="17" a="1"/>
  <c r="AN58" i="17" a="1"/>
  <c r="AO92" i="17" a="1"/>
  <c r="AS22" i="17" a="1"/>
  <c r="AP168" i="17" a="1"/>
  <c r="AO39" i="17" a="1"/>
  <c r="AO189" i="17" a="1"/>
  <c r="AN131" i="17" a="1"/>
  <c r="AM123" i="17" a="1"/>
  <c r="AM74" i="17" a="1"/>
  <c r="M7" i="19" a="1"/>
  <c r="M33" i="19" a="1"/>
  <c r="M15" i="19" a="1"/>
  <c r="M30" i="19" a="1"/>
  <c r="M25" i="19" a="1"/>
  <c r="M40" i="19" a="1"/>
  <c r="AS87" i="17" a="1"/>
  <c r="AK67" i="17" a="1"/>
  <c r="AL187" i="17" a="1"/>
  <c r="AK150" i="17" a="1"/>
  <c r="AS18" i="17" a="1"/>
  <c r="AS47" i="17" a="1"/>
  <c r="AN17" i="17" a="1"/>
  <c r="AM168" i="17" a="1"/>
  <c r="AO70" i="17" a="1"/>
  <c r="AT145" i="17" a="1"/>
  <c r="AO84" i="17" a="1"/>
  <c r="AP12" i="17" a="1"/>
  <c r="AR31" i="17" a="1"/>
  <c r="AO156" i="17" a="1"/>
  <c r="AK80" i="17" a="1"/>
  <c r="AL25" i="17" a="1"/>
  <c r="AN24" i="17" a="1"/>
  <c r="AS172" i="17" a="1"/>
  <c r="AL129" i="17" a="1"/>
  <c r="AM190" i="17" a="1"/>
  <c r="AL120" i="17" a="1"/>
  <c r="AS61" i="17" a="1"/>
  <c r="AL92" i="17" a="1"/>
  <c r="AK24" i="17" a="1"/>
  <c r="AT172" i="17" a="1"/>
  <c r="AT129" i="17" a="1"/>
  <c r="AL176" i="17" a="1"/>
  <c r="AL171" i="17" a="1"/>
  <c r="AO107" i="17" a="1"/>
  <c r="AM193" i="17" a="1"/>
  <c r="AT94" i="17" a="1"/>
  <c r="AL148" i="17" a="1"/>
  <c r="AM175" i="17" a="1"/>
  <c r="AQ159" i="17" a="1"/>
  <c r="AT161" i="17" a="1"/>
  <c r="AR64" i="17" a="1"/>
  <c r="AM109" i="17" a="1"/>
  <c r="AP127" i="17" a="1"/>
  <c r="AN15" i="17" a="1"/>
  <c r="AS43" i="17" a="1"/>
  <c r="AT78" i="17" a="1"/>
  <c r="AM8" i="17" a="1"/>
  <c r="AQ35" i="17" a="1"/>
  <c r="AK178" i="17" a="1"/>
  <c r="AK172" i="17" a="1"/>
  <c r="AO23" i="17" a="1"/>
  <c r="AO131" i="17" a="1"/>
  <c r="AQ182" i="17" a="1"/>
  <c r="AM101" i="17" a="1"/>
  <c r="AM67" i="17" a="1"/>
  <c r="AL31" i="17" a="1"/>
  <c r="AP117" i="17" a="1"/>
  <c r="AN191" i="17" a="1"/>
  <c r="AQ169" i="17" a="1"/>
  <c r="AQ70" i="17" a="1"/>
  <c r="AN29" i="17" a="1"/>
  <c r="AL66" i="17" a="1"/>
  <c r="AO144" i="17" a="1"/>
  <c r="AM136" i="17" a="1"/>
  <c r="AS45" i="17" a="1"/>
  <c r="AP100" i="17" a="1"/>
  <c r="AL96" i="17" a="1"/>
  <c r="AT101" i="17" a="1"/>
  <c r="AL184" i="17" a="1"/>
  <c r="AK71" i="17" a="1"/>
  <c r="AT86" i="17" a="1"/>
  <c r="AL43" i="17" a="1"/>
  <c r="AQ25" i="17" a="1"/>
  <c r="AR44" i="17" a="1"/>
  <c r="AK129" i="17" a="1"/>
  <c r="AR189" i="17" a="1"/>
  <c r="AR140" i="17" a="1"/>
  <c r="AM53" i="17" a="1"/>
  <c r="AR151" i="17" a="1"/>
  <c r="AS106" i="17" a="1"/>
  <c r="AT122" i="17" a="1"/>
  <c r="AS52" i="17" a="1"/>
  <c r="AL192" i="17" a="1"/>
  <c r="AQ183" i="17" a="1"/>
  <c r="AO180" i="17" a="1"/>
  <c r="AO130" i="17" a="1"/>
  <c r="AS144" i="17" a="1"/>
  <c r="AQ142" i="17" a="1"/>
  <c r="AL185" i="17" a="1"/>
  <c r="AN88" i="17" a="1"/>
  <c r="AN168" i="17" a="1"/>
  <c r="AL112" i="17" a="1"/>
  <c r="AL84" i="17" a="1"/>
  <c r="AO119" i="17" a="1"/>
  <c r="AT91" i="17" a="1"/>
  <c r="AP8" i="17" a="1"/>
  <c r="AO151" i="17" a="1"/>
  <c r="AS148" i="17" a="1"/>
  <c r="AN171" i="17" a="1"/>
  <c r="AS161" i="17" a="1"/>
  <c r="AL135" i="17" a="1"/>
  <c r="AO32" i="17" a="1"/>
  <c r="AR103" i="17" a="1"/>
  <c r="AM75" i="17" a="1"/>
  <c r="AM141" i="17" a="1"/>
  <c r="AK49" i="17"/>
  <c r="AT57" i="17" a="1"/>
  <c r="AN92" i="17" a="1"/>
  <c r="AQ74" i="17" a="1"/>
  <c r="AT138" i="17" a="1"/>
  <c r="AS67" i="17" a="1"/>
  <c r="AN150" i="17" a="1"/>
  <c r="AL47" i="17" a="1"/>
  <c r="AL162" i="17" a="1"/>
  <c r="AQ60" i="17" a="1"/>
  <c r="AO147" i="17" a="1"/>
  <c r="AT182" i="17" a="1"/>
  <c r="AM133" i="17" a="1"/>
  <c r="AT60" i="17" a="1"/>
  <c r="AT147" i="17" a="1"/>
  <c r="AL52" i="17" a="1"/>
  <c r="AM184" i="17" a="1"/>
  <c r="AO165" i="17" a="1"/>
  <c r="M20" i="19" a="1"/>
  <c r="M31" i="19" a="1"/>
  <c r="AT112" i="17" a="1"/>
  <c r="AM42" i="17" a="1"/>
  <c r="AR68" i="17" a="1"/>
  <c r="AQ158" i="17" a="1"/>
  <c r="AL194" i="17" a="1"/>
  <c r="AQ162" i="17" a="1"/>
  <c r="AM64" i="17" a="1"/>
  <c r="AO22" i="17" a="1"/>
  <c r="AL93" i="17" a="1"/>
  <c r="AN173" i="17" a="1"/>
  <c r="AS33" i="17" a="1"/>
  <c r="AO134" i="17" a="1"/>
  <c r="AQ116" i="17" a="1"/>
  <c r="AM11" i="17" a="1"/>
  <c r="AT109" i="17" a="1"/>
  <c r="AP11" i="17" a="1"/>
  <c r="AO148" i="17" a="1"/>
  <c r="AT175" i="17" a="1"/>
  <c r="AP159" i="17" a="1"/>
  <c r="AN100" i="17" a="1"/>
  <c r="AS64" i="17" a="1"/>
  <c r="AP109" i="17" a="1"/>
  <c r="AO63" i="17" a="1"/>
  <c r="AQ122" i="17" a="1"/>
  <c r="AN148" i="17" a="1"/>
  <c r="AK175" i="17" a="1"/>
  <c r="AR159" i="17" a="1"/>
  <c r="AQ100" i="17" a="1"/>
  <c r="AR109" i="17" a="1"/>
  <c r="AM179" i="17" a="1"/>
  <c r="AR29" i="17" a="1"/>
  <c r="AL95" i="17" a="1"/>
  <c r="AM192" i="17" a="1"/>
  <c r="AM178" i="17" a="1"/>
  <c r="AO60" i="17" a="1"/>
  <c r="AN106" i="17" a="1"/>
  <c r="AM147" i="17" a="1"/>
  <c r="AN8" i="17" a="1"/>
  <c r="AM182" i="17" a="1"/>
  <c r="AT63" i="17" a="1"/>
  <c r="AS171" i="17" a="1"/>
  <c r="AL39" i="17" a="1"/>
  <c r="AM129" i="17" a="1"/>
  <c r="AO140" i="17" a="1"/>
  <c r="AS113" i="17" a="1"/>
  <c r="AL70" i="17" a="1"/>
  <c r="AO73" i="17" a="1"/>
  <c r="AO45" i="17" a="1"/>
  <c r="AN170" i="17" a="1"/>
  <c r="AR117" i="17" a="1"/>
  <c r="AT47" i="17" a="1"/>
  <c r="AK114" i="17" a="1"/>
  <c r="AL91" i="17" a="1"/>
  <c r="AM138" i="17" a="1"/>
  <c r="AS78" i="17" a="1"/>
  <c r="AO51" i="17" a="1"/>
  <c r="AO179" i="17" a="1"/>
  <c r="AK40" i="17" a="1"/>
  <c r="AQ110" i="17" a="1"/>
  <c r="AP95" i="17" a="1"/>
  <c r="AP157" i="17" a="1"/>
  <c r="AM126" i="17" a="1"/>
  <c r="AQ23" i="17" a="1"/>
  <c r="AL49" i="17" a="1"/>
  <c r="AK117" i="17" a="1"/>
  <c r="AS103" i="17" a="1"/>
  <c r="AP154" i="17" a="1"/>
  <c r="AM110" i="17" a="1"/>
  <c r="AN33" i="17" a="1"/>
  <c r="AP183" i="17" a="1"/>
  <c r="AL180" i="17" a="1"/>
  <c r="AS147" i="17" a="1"/>
  <c r="AT80" i="17" a="1"/>
  <c r="AP53" i="17" a="1"/>
  <c r="AO54" i="17" a="1"/>
  <c r="AS38" i="17" a="1"/>
  <c r="AS155" i="17" a="1"/>
  <c r="AT168" i="17" a="1"/>
  <c r="AS173" i="17" a="1"/>
  <c r="AR116" i="17" a="1"/>
  <c r="AL87" i="17" a="1"/>
  <c r="AQ46" i="17" a="1"/>
  <c r="AT119" i="17" a="1"/>
  <c r="AS95" i="17" a="1"/>
  <c r="AR135" i="17" a="1"/>
  <c r="AQ96" i="17" a="1"/>
  <c r="AR144" i="17" a="1"/>
  <c r="AQ33" i="17" a="1"/>
  <c r="AT130" i="17" a="1"/>
  <c r="AR40" i="17" a="1"/>
  <c r="AK96" i="17" a="1"/>
  <c r="AK101" i="17" a="1"/>
  <c r="AR143" i="17" a="1"/>
  <c r="AK127" i="17" a="1"/>
  <c r="AN89" i="17" a="1"/>
  <c r="AK173" i="17" a="1"/>
  <c r="AM102" i="17" a="1"/>
  <c r="AR89" i="17" a="1"/>
  <c r="AM148" i="17" a="1"/>
  <c r="AR187" i="17" a="1"/>
  <c r="AP144" i="17" a="1"/>
  <c r="L18" i="19" a="1"/>
  <c r="AN19" i="17" a="1"/>
  <c r="AR18" i="17" a="1"/>
  <c r="AR87" i="17" a="1"/>
  <c r="AT187" i="17" a="1"/>
  <c r="AL18" i="17" a="1"/>
  <c r="AK156" i="17" a="1"/>
  <c r="AL178" i="17" a="1"/>
  <c r="AM73" i="17" a="1"/>
  <c r="AT8" i="17" a="1"/>
  <c r="AL37" i="17" a="1"/>
  <c r="AR178" i="17" a="1"/>
  <c r="AS73" i="17" a="1"/>
  <c r="AS105" i="17" a="1"/>
  <c r="M42" i="19" a="1"/>
  <c r="L8" i="19" a="1"/>
  <c r="AK130" i="17" a="1"/>
  <c r="AQ176" i="17" a="1"/>
  <c r="AP191" i="17" a="1"/>
  <c r="AQ17" i="17" a="1"/>
  <c r="AN53" i="17" a="1"/>
  <c r="AT131" i="17" a="1"/>
  <c r="AS53" i="17" a="1"/>
  <c r="AL61" i="17" a="1"/>
  <c r="AQ112" i="17" a="1"/>
  <c r="AK42" i="17" a="1"/>
  <c r="AL68" i="17" a="1"/>
  <c r="AM158" i="17" a="1"/>
  <c r="AN194" i="17" a="1"/>
  <c r="AS162" i="17" a="1"/>
  <c r="AR162" i="17" a="1"/>
  <c r="AL74" i="17" a="1"/>
  <c r="AP113" i="17" a="1"/>
  <c r="AM164" i="17" a="1"/>
  <c r="AP124" i="17" a="1"/>
  <c r="AP128" i="17" a="1"/>
  <c r="AR169" i="17" a="1"/>
  <c r="AP25" i="17" a="1"/>
  <c r="AS190" i="17" a="1"/>
  <c r="AK151" i="17" a="1"/>
  <c r="AM113" i="17" a="1"/>
  <c r="AP164" i="17" a="1"/>
  <c r="AL124" i="17" a="1"/>
  <c r="AK128" i="17" a="1"/>
  <c r="AN96" i="17" a="1"/>
  <c r="AP43" i="17" a="1"/>
  <c r="AT59" i="17" a="1"/>
  <c r="AS56" i="17" a="1"/>
  <c r="AP108" i="17" a="1"/>
  <c r="AP145" i="17" a="1"/>
  <c r="AL103" i="17" a="1"/>
  <c r="AL12" i="17" a="1"/>
  <c r="AK31" i="17" a="1"/>
  <c r="AP133" i="17" a="1"/>
  <c r="AM52" i="17" a="1"/>
  <c r="AO159" i="17" a="1"/>
  <c r="AK147" i="17" a="1"/>
  <c r="AK136" i="17" a="1"/>
  <c r="AR93" i="17" a="1"/>
  <c r="AO86" i="17" a="1"/>
  <c r="AP40" i="17" a="1"/>
  <c r="AM10" i="17" a="1"/>
  <c r="AO38" i="17" a="1"/>
  <c r="AP32" i="17" a="1"/>
  <c r="AK61" i="17" a="1"/>
  <c r="AT40" i="17" a="1"/>
  <c r="AK152" i="17" a="1"/>
  <c r="AM142" i="17" a="1"/>
  <c r="AM9" i="17" a="1"/>
  <c r="AT154" i="17" a="1"/>
  <c r="AT46" i="17" a="1"/>
  <c r="AR134" i="17" a="1"/>
  <c r="AM44" i="17" a="1"/>
  <c r="AP78" i="17" a="1"/>
  <c r="AL189" i="17" a="1"/>
  <c r="AO101" i="17" a="1"/>
  <c r="AK99" i="17" a="1"/>
  <c r="AO106" i="17" a="1"/>
  <c r="AK119" i="17" a="1"/>
  <c r="AN85" i="17" a="1"/>
  <c r="AR70" i="17" a="1"/>
  <c r="AQ114" i="17" a="1"/>
  <c r="AQ79" i="17" a="1"/>
  <c r="AP176" i="17" a="1"/>
  <c r="AQ150" i="17" a="1"/>
  <c r="AO182" i="17" a="1"/>
  <c r="AT50" i="17" a="1"/>
  <c r="AP151" i="17" a="1"/>
  <c r="AQ130" i="17" a="1"/>
  <c r="AQ94" i="17" a="1"/>
  <c r="AQ171" i="17" a="1"/>
  <c r="AR124" i="17" a="1"/>
  <c r="AK168" i="17" a="1"/>
  <c r="AO173" i="17" a="1"/>
  <c r="AK191" i="17" a="1"/>
  <c r="AO96" i="17" a="1"/>
  <c r="AL10" i="17" a="1"/>
  <c r="AP131" i="17" a="1"/>
  <c r="AM60" i="17" a="1"/>
  <c r="AP59" i="17" a="1"/>
  <c r="AK148" i="17" a="1"/>
  <c r="AP185" i="17" a="1"/>
  <c r="AL88" i="17" a="1"/>
  <c r="AN145" i="17" a="1"/>
  <c r="AO152" i="17" a="1"/>
  <c r="AO113" i="17" a="1"/>
  <c r="AQ52" i="17" a="1"/>
  <c r="AP142" i="17" a="1"/>
  <c r="AP68" i="17" a="1"/>
  <c r="AT157" i="17" a="1"/>
  <c r="AO142" i="17" a="1"/>
  <c r="AT93" i="17" a="1"/>
  <c r="AS36" i="17" a="1"/>
  <c r="AT70" i="17" a="1"/>
  <c r="M27" i="19" a="1"/>
  <c r="M26" i="19" a="1"/>
  <c r="AO52" i="17" a="1"/>
  <c r="AO82" i="17" a="1"/>
  <c r="AM105" i="17" a="1"/>
  <c r="AK23" i="17" a="1"/>
  <c r="AN54" i="17" a="1"/>
  <c r="AQ138" i="17" a="1"/>
  <c r="AL168" i="17" a="1"/>
  <c r="AS122" i="17" a="1"/>
  <c r="AM119" i="17" a="1"/>
  <c r="AS107" i="17" a="1"/>
  <c r="AN193" i="17" a="1"/>
  <c r="AQ81" i="17" a="1"/>
  <c r="AP99" i="17" a="1"/>
  <c r="AM170" i="17" a="1"/>
  <c r="AL169" i="17" a="1"/>
  <c r="AR142" i="17" a="1"/>
  <c r="AM112" i="17" a="1"/>
  <c r="AR42" i="17" a="1"/>
  <c r="AN68" i="17" a="1"/>
  <c r="AL158" i="17" a="1"/>
  <c r="AL136" i="17" a="1"/>
  <c r="AT162" i="17" a="1"/>
  <c r="AP71" i="17" a="1"/>
  <c r="AT165" i="17" a="1"/>
  <c r="AO112" i="17" a="1"/>
  <c r="AS42" i="17" a="1"/>
  <c r="AT68" i="17" a="1"/>
  <c r="AK158" i="17" a="1"/>
  <c r="AP178" i="17" a="1"/>
  <c r="AK60" i="17" a="1"/>
  <c r="AM106" i="17" a="1"/>
  <c r="AP147" i="17" a="1"/>
  <c r="AM51" i="17" a="1"/>
  <c r="AP141" i="17" a="1"/>
  <c r="AS142" i="17" a="1"/>
  <c r="AO19" i="17" a="1"/>
  <c r="AQ102" i="17" a="1"/>
  <c r="AQ92" i="17" a="1"/>
  <c r="AN74" i="17" a="1"/>
  <c r="AQ148" i="17" a="1"/>
  <c r="AL121" i="17" a="1"/>
  <c r="AN40" i="17" a="1"/>
  <c r="AT79" i="17" a="1"/>
  <c r="AO80" i="17" a="1"/>
  <c r="AM15" i="17" a="1"/>
  <c r="AO110" i="17" a="1"/>
  <c r="AT95" i="17" a="1"/>
  <c r="AR157" i="17" a="1"/>
  <c r="AQ72" i="17" a="1"/>
  <c r="AR136" i="17" a="1"/>
  <c r="AO150" i="17" a="1"/>
  <c r="AK77" i="17" a="1"/>
  <c r="AP49" i="17" a="1"/>
  <c r="AO102" i="17" a="1"/>
  <c r="AO87" i="17" a="1"/>
  <c r="AS184" i="17" a="1"/>
  <c r="AT102" i="17" a="1"/>
  <c r="AQ170" i="17" a="1"/>
  <c r="AN107" i="17" a="1"/>
  <c r="AO158" i="17" a="1"/>
  <c r="AN156" i="17" a="1"/>
  <c r="AN28" i="17" a="1"/>
  <c r="AK94" i="17" a="1"/>
  <c r="AT100" i="17" a="1"/>
  <c r="AS133" i="17" a="1"/>
  <c r="AK159" i="17" a="1"/>
  <c r="AM37" i="17" a="1"/>
  <c r="AK170" i="17" a="1"/>
  <c r="AM35" i="17" a="1"/>
  <c r="AK115" i="17" a="1"/>
  <c r="AL23" i="17" a="1"/>
  <c r="AQ38" i="17" a="1"/>
  <c r="AR150" i="17" a="1"/>
  <c r="AL82" i="17" a="1"/>
  <c r="AN103" i="17" a="1"/>
  <c r="AT133" i="17" a="1"/>
  <c r="AO36" i="17" a="1"/>
  <c r="AO116" i="17" a="1"/>
  <c r="AN46" i="17" a="1"/>
  <c r="AT128" i="17" a="1"/>
  <c r="AK51" i="17" a="1"/>
  <c r="AT180" i="17" a="1"/>
  <c r="AL35" i="17" a="1"/>
  <c r="AL109" i="17" a="1"/>
  <c r="AQ123" i="17" a="1"/>
  <c r="AS81" i="17" a="1"/>
  <c r="AQ178" i="17" a="1"/>
  <c r="AL145" i="17" a="1"/>
  <c r="AS150" i="17" a="1"/>
  <c r="AS115" i="17" a="1"/>
  <c r="AT150" i="17" a="1"/>
  <c r="AO30" i="17" a="1"/>
  <c r="AM187" i="17" a="1"/>
  <c r="AM161" i="17" a="1"/>
  <c r="AM194" i="17" a="1"/>
  <c r="AM121" i="17" a="1"/>
  <c r="AN78" i="17" a="1"/>
  <c r="AR185" i="17" a="1"/>
  <c r="AM87" i="17" a="1"/>
  <c r="AK163" i="17" a="1"/>
  <c r="L14" i="19" a="1"/>
  <c r="M44" i="19" a="1"/>
  <c r="AN66" i="17" a="1"/>
  <c r="AO43" i="17" a="1"/>
  <c r="AL155" i="17" a="1"/>
  <c r="AL56" i="17" a="1"/>
  <c r="AL80" i="17" a="1"/>
  <c r="AN183" i="17" a="1"/>
  <c r="AQ131" i="17" a="1"/>
  <c r="AO11" i="17" a="1"/>
  <c r="AR179" i="17" a="1"/>
  <c r="AP29" i="17" a="1"/>
  <c r="AQ98" i="17" a="1"/>
  <c r="AS192" i="17" a="1"/>
  <c r="AM91" i="17" a="1"/>
  <c r="AT75" i="17" a="1"/>
  <c r="AQ126" i="17" a="1"/>
  <c r="AQ28" i="17" a="1"/>
  <c r="AT141" i="17" a="1"/>
  <c r="AO49" i="17" a="1"/>
  <c r="AT19" i="17" a="1"/>
  <c r="AP102" i="17" a="1"/>
  <c r="AP92" i="17" a="1"/>
  <c r="AP74" i="17" a="1"/>
  <c r="AS189" i="17" a="1"/>
  <c r="AT18" i="17" a="1"/>
  <c r="AL141" i="17" a="1"/>
  <c r="AM49" i="17" a="1"/>
  <c r="AK19" i="17" a="1"/>
  <c r="AL81" i="17" a="1"/>
  <c r="AN113" i="17" a="1"/>
  <c r="AS44" i="17" a="1"/>
  <c r="AQ124" i="17" a="1"/>
  <c r="AQ128" i="17" a="1"/>
  <c r="AM152" i="17" a="1"/>
  <c r="AM89" i="17" a="1"/>
  <c r="AN176" i="17" a="1"/>
  <c r="AT88" i="17" a="1"/>
  <c r="AO17" i="17" a="1"/>
  <c r="AK53" i="17" a="1"/>
  <c r="AN151" i="17" a="1"/>
  <c r="AO35" i="17" a="1"/>
  <c r="AL60" i="17" a="1"/>
  <c r="AP187" i="17" a="1"/>
  <c r="AS158" i="17" a="1"/>
  <c r="AK120" i="17" a="1"/>
  <c r="AM171" i="17" a="1"/>
  <c r="AQ121" i="17" a="1"/>
  <c r="AR59" i="17" a="1"/>
  <c r="AT51" i="17" a="1"/>
  <c r="AN135" i="17" a="1"/>
  <c r="AR54" i="17" a="1"/>
  <c r="AK18" i="17" a="1"/>
  <c r="AP18" i="17" a="1"/>
  <c r="AQ39" i="17" a="1"/>
  <c r="AO64" i="17" a="1"/>
  <c r="AP66" i="17" a="1"/>
  <c r="AK33" i="17" a="1"/>
  <c r="AK190" i="17" a="1"/>
  <c r="AS82" i="17" a="1"/>
  <c r="AM17" i="17" a="1"/>
  <c r="AP47" i="17" a="1"/>
  <c r="AN77" i="17" a="1"/>
  <c r="AR60" i="17" a="1"/>
  <c r="AQ8" i="17" a="1"/>
  <c r="AS57" i="17" a="1"/>
  <c r="AR183" i="17" a="1"/>
  <c r="AO191" i="17" a="1"/>
  <c r="AK10" i="17" a="1"/>
  <c r="AM32" i="17" a="1"/>
  <c r="AQ108" i="17" a="1"/>
  <c r="AL73" i="17" a="1"/>
  <c r="AQ45" i="17" a="1"/>
  <c r="AQ137" i="17" a="1"/>
  <c r="AL8" i="17" a="1"/>
  <c r="AP103" i="17" a="1"/>
  <c r="AR193" i="17" a="1"/>
  <c r="AK138" i="17" a="1"/>
  <c r="AL100" i="17" a="1"/>
  <c r="AN143" i="17" a="1"/>
  <c r="AN159" i="17" a="1"/>
  <c r="AK37" i="17" a="1"/>
  <c r="AT11" i="17" a="1"/>
  <c r="AQ42" i="17" a="1"/>
  <c r="AO154" i="17" a="1"/>
  <c r="AT107" i="17" a="1"/>
  <c r="AT45" i="17" a="1"/>
  <c r="AK122" i="17" a="1"/>
  <c r="AQ67" i="17" a="1"/>
  <c r="AP28" i="17" a="1"/>
  <c r="AO40" i="17" a="1"/>
  <c r="AN45" i="17" a="1"/>
  <c r="AR114" i="17" a="1"/>
  <c r="AM98" i="17" a="1"/>
  <c r="AN102" i="17" a="1"/>
  <c r="AT143" i="17" a="1"/>
  <c r="AN142" i="17" a="1"/>
  <c r="AP158" i="17" a="1"/>
  <c r="AO9" i="17" a="1"/>
  <c r="M28" i="19" a="1"/>
  <c r="M10" i="19" a="1"/>
  <c r="AR163" i="17" a="1"/>
  <c r="AR149" i="17" a="1"/>
  <c r="AS58" i="17" a="1"/>
  <c r="AT9" i="17" a="1"/>
  <c r="AP50" i="17" a="1"/>
  <c r="AS65" i="17" a="1"/>
  <c r="AN152" i="17" a="1"/>
  <c r="AS72" i="17" a="1"/>
  <c r="AN52" i="17" a="1"/>
  <c r="AQ82" i="17" a="1"/>
  <c r="AK105" i="17" a="1"/>
  <c r="AT23" i="17" a="1"/>
  <c r="AS54" i="17" a="1"/>
  <c r="AN138" i="17" a="1"/>
  <c r="AN18" i="17" a="1"/>
  <c r="AT31" i="17" a="1"/>
  <c r="AN130" i="17" a="1"/>
  <c r="AO176" i="17" a="1"/>
  <c r="AK88" i="17" a="1"/>
  <c r="AT17" i="17" a="1"/>
  <c r="AT53" i="17" a="1"/>
  <c r="AL131" i="17" a="1"/>
  <c r="AR50" i="17" a="1"/>
  <c r="AO143" i="17" a="1"/>
  <c r="AS130" i="17" a="1"/>
  <c r="AK176" i="17" a="1"/>
  <c r="AP88" i="17" a="1"/>
  <c r="AO192" i="17" a="1"/>
  <c r="AS108" i="17" a="1"/>
  <c r="AK145" i="17" a="1"/>
  <c r="AQ103" i="17" a="1"/>
  <c r="AM12" i="17" a="1"/>
  <c r="AQ105" i="17" a="1"/>
  <c r="AO15" i="17" a="1"/>
  <c r="AM46" i="17" a="1"/>
  <c r="AK36" i="17" a="1"/>
  <c r="AR37" i="17" a="1"/>
  <c r="AQ51" i="17" a="1"/>
  <c r="AQ22" i="17" a="1"/>
  <c r="AL113" i="17" a="1"/>
  <c r="AT44" i="17" a="1"/>
  <c r="AL137" i="17" a="1"/>
  <c r="AK102" i="17" a="1"/>
  <c r="AT25" i="17" a="1"/>
  <c r="AS185" i="17" a="1"/>
  <c r="AQ44" i="17" a="1"/>
  <c r="AL78" i="17" a="1"/>
  <c r="AN189" i="17" a="1"/>
  <c r="AQ32" i="17" a="1"/>
  <c r="AR154" i="17" a="1"/>
  <c r="AO50" i="17" a="1"/>
  <c r="AP143" i="17" a="1"/>
  <c r="AM103" i="17" a="1"/>
  <c r="AK91" i="17" a="1"/>
  <c r="AO164" i="17" a="1"/>
  <c r="AT155" i="17" a="1"/>
  <c r="AO157" i="17" a="1"/>
  <c r="AL186" i="17" a="1"/>
  <c r="AK149" i="17" a="1"/>
  <c r="AN134" i="17" a="1"/>
  <c r="AN109" i="17" a="1"/>
  <c r="AT177" i="17" a="1"/>
  <c r="AR182" i="17" a="1"/>
  <c r="AT58" i="17" a="1"/>
  <c r="AT77" i="17" a="1"/>
  <c r="AP58" i="17" a="1"/>
  <c r="AN36" i="17" a="1"/>
  <c r="AP67" i="17" a="1"/>
  <c r="AS136" i="17" a="1"/>
  <c r="AK184" i="17" a="1"/>
  <c r="AR108" i="17" a="1"/>
  <c r="AN140" i="17" a="1"/>
  <c r="AT67" i="17" a="1"/>
  <c r="AQ78" i="17" a="1"/>
  <c r="AR30" i="17" a="1"/>
  <c r="AL126" i="17" a="1"/>
  <c r="AL72" i="17" a="1"/>
  <c r="AP94" i="17" a="1"/>
  <c r="AM30" i="17" a="1"/>
  <c r="AL149" i="17" a="1"/>
  <c r="AP156" i="17" a="1"/>
  <c r="AP138" i="17" a="1"/>
  <c r="AR94" i="17" a="1"/>
  <c r="AK161" i="17" a="1"/>
  <c r="AT74" i="17" a="1"/>
  <c r="AN12" i="17" a="1"/>
  <c r="AL193" i="17" a="1"/>
  <c r="AS28" i="17" a="1"/>
  <c r="AK98" i="17" a="1"/>
  <c r="AT43" i="17" a="1"/>
  <c r="AN169" i="17" a="1"/>
  <c r="AM159" i="17" a="1"/>
  <c r="AP106" i="17" a="1"/>
  <c r="AL116" i="17" a="1"/>
  <c r="AK78" i="17" a="1"/>
  <c r="AS151" i="17" a="1"/>
  <c r="AM79" i="17" a="1"/>
  <c r="AK133" i="17" a="1"/>
  <c r="AP17" i="17" a="1"/>
  <c r="AN70" i="17" a="1"/>
  <c r="AR101" i="17" a="1"/>
  <c r="AR168" i="17" a="1"/>
  <c r="AN165" i="17" a="1"/>
  <c r="AM68" i="17" a="1"/>
  <c r="AM86" i="17" a="1"/>
  <c r="AQ10" i="17" a="1"/>
  <c r="AP87" i="17" a="1"/>
  <c r="AK58" i="17" a="1"/>
  <c r="AN32" i="17" a="1"/>
  <c r="AR155" i="17" a="1"/>
  <c r="AK183" i="17" a="1"/>
  <c r="AT110" i="17" a="1"/>
  <c r="AL71" i="17" a="1"/>
  <c r="AK131" i="17" a="1"/>
  <c r="AN22" i="17" a="1"/>
  <c r="AM77" i="17" a="1"/>
  <c r="AN185" i="17" a="1"/>
  <c r="AN39" i="17" a="1"/>
  <c r="AT81" i="17" a="1"/>
  <c r="AT178" i="17" a="1"/>
  <c r="AO103" i="17" a="1"/>
  <c r="AT105" i="17" a="1"/>
  <c r="AT189" i="17" a="1"/>
  <c r="AS169" i="17" a="1"/>
  <c r="AK57" i="17" a="1"/>
  <c r="AS50" i="17" a="1"/>
  <c r="AQ166" i="17" a="1"/>
  <c r="AO178" i="17" a="1"/>
  <c r="AP130" i="17" a="1"/>
  <c r="AT72" i="17" a="1"/>
  <c r="AO24" i="17" a="1"/>
  <c r="AS154" i="17" a="1"/>
  <c r="AP148" i="17" a="1"/>
  <c r="AR122" i="17" a="1"/>
  <c r="AT185" i="17" a="1"/>
  <c r="AR121" i="17" a="1"/>
  <c r="AM84" i="17" a="1"/>
  <c r="AN133" i="17" a="1"/>
  <c r="AN75" i="17" a="1"/>
  <c r="AT49" i="17" a="1"/>
  <c r="AL44" i="17" a="1"/>
  <c r="AT173" i="17" a="1"/>
  <c r="AQ49" i="17" a="1"/>
  <c r="AS145" i="17" a="1"/>
  <c r="AQ156" i="17" a="1"/>
  <c r="AL163" i="17" a="1"/>
  <c r="AM134" i="17" a="1"/>
  <c r="AK43" i="17" a="1"/>
  <c r="AR148" i="17" a="1"/>
  <c r="AM65" i="17" a="1"/>
  <c r="AO78" i="17" a="1"/>
  <c r="AS120" i="17" a="1"/>
  <c r="AP123" i="17" a="1"/>
  <c r="AO67" i="17" a="1"/>
  <c r="AO88" i="17" a="1"/>
  <c r="AL175" i="17" a="1"/>
  <c r="M16" i="19" a="1"/>
  <c r="AS176" i="17" a="1"/>
  <c r="AN180" i="17" a="1"/>
  <c r="AL24" i="17" a="1"/>
  <c r="AK64" i="17" a="1"/>
  <c r="AO89" i="17" a="1"/>
  <c r="AL173" i="17" a="1"/>
  <c r="AS156" i="17" a="1"/>
  <c r="AO29" i="17" a="1"/>
  <c r="AP96" i="17" a="1"/>
  <c r="M24" i="19" a="1"/>
  <c r="AK75" i="17" a="1"/>
  <c r="AN67" i="17" a="1"/>
  <c r="AQ168" i="17" a="1"/>
  <c r="AQ175" i="17" a="1"/>
  <c r="AT158" i="17" a="1"/>
  <c r="AS68" i="17" a="1"/>
  <c r="AM59" i="17" a="1"/>
  <c r="AM166" i="17" a="1"/>
  <c r="AP79" i="17" a="1"/>
  <c r="AL147" i="17" a="1"/>
  <c r="M17" i="19" a="1"/>
  <c r="AP65" i="17" a="1"/>
  <c r="AR46" i="17" a="1"/>
  <c r="AQ191" i="17" a="1"/>
  <c r="AL63" i="17" a="1"/>
  <c r="AR131" i="17" a="1"/>
  <c r="AN37" i="17" a="1"/>
  <c r="AO42" i="17" a="1"/>
  <c r="AR57" i="17" a="1"/>
  <c r="AP75" i="17" a="1"/>
  <c r="AO12" i="17" a="1"/>
  <c r="AN38" i="17" a="1"/>
  <c r="AT12" i="17" a="1"/>
  <c r="AL58" i="17" a="1"/>
  <c r="AL42" i="17" a="1"/>
  <c r="AT120" i="17" a="1"/>
  <c r="AQ115" i="17" a="1"/>
  <c r="AS166" i="17" a="1"/>
  <c r="AK126" i="17" a="1"/>
  <c r="AN137" i="17" a="1"/>
  <c r="AK95" i="17" a="1"/>
  <c r="AS51" i="17" a="1"/>
  <c r="AT84" i="17" a="1"/>
  <c r="AR105" i="17" a="1"/>
  <c r="AS91" i="17" a="1"/>
  <c r="AK109" i="17" a="1"/>
  <c r="AL22" i="17" a="1"/>
  <c r="AS117" i="17" a="1"/>
  <c r="AL77" i="17" a="1"/>
  <c r="AM130" i="17" a="1"/>
  <c r="AS164" i="17" a="1"/>
  <c r="AT149" i="17" a="1"/>
  <c r="AQ134" i="17" a="1"/>
  <c r="AO193" i="17" a="1"/>
  <c r="AS88" i="17" a="1"/>
  <c r="AS126" i="17" a="1"/>
  <c r="AS24" i="17" a="1"/>
  <c r="AO77" i="17" a="1"/>
  <c r="AS19" i="17" a="1"/>
  <c r="AN81" i="17" a="1"/>
  <c r="AQ192" i="17" a="1"/>
  <c r="AS17" i="17" a="1"/>
  <c r="AR65" i="17" a="1"/>
  <c r="AS134" i="17" a="1"/>
  <c r="AR127" i="17" a="1"/>
  <c r="AK134" i="17" a="1"/>
  <c r="AR129" i="17" a="1"/>
  <c r="AR172" i="17" a="1"/>
  <c r="AO25" i="17" a="1"/>
  <c r="AQ106" i="17" a="1"/>
  <c r="AL86" i="17" a="1"/>
  <c r="AS194" i="17" a="1"/>
  <c r="AP175" i="17" a="1"/>
  <c r="AK79" i="17" a="1"/>
  <c r="AM56" i="17" a="1"/>
  <c r="AR80" i="17" a="1"/>
  <c r="AR112" i="17" a="1"/>
  <c r="AQ143" i="17" a="1"/>
  <c r="AR56" i="17" a="1"/>
  <c r="AO59" i="17" a="1"/>
  <c r="AT38" i="17" a="1"/>
  <c r="AQ77" i="17" a="1"/>
  <c r="AO177" i="17" a="1"/>
  <c r="AS191" i="17" a="1"/>
  <c r="AP86" i="17" a="1"/>
  <c r="AR99" i="17" a="1"/>
  <c r="AR88" i="17" a="1"/>
  <c r="AN87" i="17" a="1"/>
  <c r="AQ155" i="17" a="1"/>
  <c r="AK25" i="17" a="1"/>
  <c r="AP179" i="17" a="1"/>
  <c r="AK65" i="17" a="1"/>
  <c r="AT92" i="17" a="1"/>
  <c r="AL190" i="17" a="1"/>
  <c r="AN11" i="17" a="1"/>
  <c r="AN122" i="17" a="1"/>
  <c r="AL123" i="17" a="1"/>
  <c r="AQ47" i="17" a="1"/>
  <c r="AP33" i="17" a="1"/>
  <c r="AO185" i="17" a="1"/>
  <c r="AK121" i="17" a="1"/>
  <c r="AN192" i="17" a="1"/>
  <c r="AK157" i="17" a="1"/>
  <c r="AO37" i="17" a="1"/>
  <c r="AN63" i="17" a="1"/>
  <c r="AP150" i="17" a="1"/>
  <c r="AP30" i="17" a="1"/>
  <c r="AL150" i="17" a="1"/>
  <c r="AO161" i="17" a="1"/>
  <c r="AN124" i="17" a="1"/>
  <c r="AQ11" i="17" a="1"/>
  <c r="AO124" i="17" a="1"/>
  <c r="AQ141" i="17" a="1"/>
  <c r="AM162" i="17" a="1"/>
  <c r="AN115" i="17" a="1"/>
  <c r="AL157" i="17" a="1"/>
  <c r="AN126" i="17" a="1"/>
  <c r="AM120" i="17" a="1"/>
  <c r="AQ184" i="17" a="1"/>
  <c r="AT194" i="17" a="1"/>
  <c r="AK12" i="17" a="1"/>
  <c r="AK135" i="17" a="1"/>
  <c r="AL143" i="17" a="1"/>
  <c r="AP162" i="17" a="1"/>
  <c r="AS112" i="17" a="1"/>
  <c r="AM128" i="17" a="1"/>
  <c r="AR110" i="17" a="1"/>
  <c r="AN114" i="17" a="1"/>
  <c r="AP72" i="17" a="1"/>
  <c r="AR173" i="17" a="1"/>
  <c r="AR82" i="17" a="1"/>
  <c r="AO53" i="17" a="1"/>
  <c r="AO93" i="17" a="1"/>
  <c r="AT116" i="17" a="1"/>
  <c r="AR113" i="17" a="1"/>
  <c r="AP169" i="17" a="1"/>
  <c r="AL9" i="17" a="1"/>
  <c r="AM61" i="17" a="1"/>
  <c r="AP37" i="17" a="1"/>
  <c r="AL33" i="17" a="1"/>
  <c r="AS168" i="17" a="1"/>
  <c r="AO186" i="17" a="1"/>
  <c r="AK72" i="17" a="1"/>
  <c r="AN182" i="17" a="1"/>
  <c r="AR126" i="17" a="1"/>
  <c r="AO175" i="17" a="1"/>
  <c r="AM180" i="17" a="1"/>
  <c r="AQ24" i="17" a="1"/>
  <c r="AP51" i="17" a="1"/>
  <c r="AP119" i="17" a="1"/>
  <c r="AR123" i="17" a="1"/>
  <c r="AR176" i="17" a="1"/>
  <c r="AQ119" i="17" a="1"/>
  <c r="AP93" i="17" a="1"/>
  <c r="AQ61" i="17" a="1"/>
  <c r="AQ31" i="17" a="1"/>
  <c r="AS29" i="17" a="1"/>
  <c r="AT126" i="17" a="1"/>
  <c r="AO170" i="17" a="1"/>
  <c r="AQ127" i="17" a="1"/>
  <c r="AL161" i="17" a="1"/>
  <c r="AL15" i="17" a="1"/>
  <c r="AR71" i="17" a="1"/>
  <c r="AS141" i="17" a="1"/>
  <c r="AM92" i="17" a="1"/>
  <c r="AP70" i="17" a="1"/>
  <c r="AP31" i="17" a="1"/>
  <c r="AM70" i="17" a="1"/>
  <c r="AQ9" i="17" a="1"/>
  <c r="AO187" i="17" a="1"/>
  <c r="AK162" i="17" a="1"/>
  <c r="AL59" i="17" a="1"/>
  <c r="AQ87" i="17" a="1"/>
  <c r="AO135" i="17" a="1"/>
  <c r="AR177" i="17" a="1"/>
  <c r="AO75" i="17" a="1"/>
  <c r="AL179" i="17" a="1"/>
  <c r="AM131" i="17" a="1"/>
  <c r="AR58" i="17" a="1"/>
  <c r="AS135" i="17" a="1"/>
  <c r="M22" i="19" a="1"/>
  <c r="AL17" i="17" a="1"/>
  <c r="AT156" i="17" a="1"/>
  <c r="AN163" i="17" a="1"/>
  <c r="AR66" i="17" a="1"/>
  <c r="AK185" i="17" a="1"/>
  <c r="AQ68" i="17" a="1"/>
  <c r="AT24" i="17" a="1"/>
  <c r="AM115" i="17" a="1"/>
  <c r="AS85" i="17" a="1"/>
  <c r="AP35" i="17" a="1"/>
  <c r="AM143" i="17" a="1"/>
  <c r="AO137" i="17" a="1"/>
  <c r="AS32" i="17" a="1"/>
  <c r="AP190" i="17" a="1"/>
  <c r="AN121" i="17" a="1"/>
  <c r="AQ85" i="17" a="1"/>
  <c r="AN86" i="17" a="1"/>
  <c r="AK81" i="17" a="1"/>
  <c r="AL38" i="17" a="1"/>
  <c r="AN44" i="17" a="1"/>
  <c r="AN119" i="17" a="1"/>
  <c r="AQ56" i="17" a="1"/>
  <c r="AT179" i="17" a="1"/>
  <c r="AR15" i="17" a="1"/>
  <c r="AQ71" i="17" a="1"/>
  <c r="AP166" i="17" a="1"/>
  <c r="AO18" i="17" a="1"/>
  <c r="AN166" i="17" a="1"/>
  <c r="AN31" i="17" a="1"/>
  <c r="AP129" i="17" a="1"/>
  <c r="AS165" i="17" a="1"/>
  <c r="AT99" i="17" a="1"/>
  <c r="AM71" i="17" a="1"/>
  <c r="AR86" i="17" a="1"/>
  <c r="AK47" i="17" a="1"/>
  <c r="AS109" i="17" a="1"/>
  <c r="AR191" i="17" a="1"/>
  <c r="AO74" i="17" a="1"/>
  <c r="AQ145" i="17" a="1"/>
  <c r="AT113" i="17" a="1"/>
  <c r="AK171" i="17" a="1"/>
  <c r="AM176" i="17" a="1"/>
  <c r="M45" i="19" a="1"/>
  <c r="AS131" i="17" a="1"/>
  <c r="AK180" i="17" a="1"/>
  <c r="AL79" i="17" a="1"/>
  <c r="AM57" i="17" a="1"/>
  <c r="AL191" i="17" a="1"/>
  <c r="AL183" i="17" a="1"/>
  <c r="AQ154" i="17" a="1"/>
  <c r="AS49" i="17" a="1"/>
  <c r="AR115" i="17" a="1"/>
  <c r="M37" i="19" a="1"/>
  <c r="AP22" i="17" a="1"/>
  <c r="AR67" i="17" a="1"/>
  <c r="AK166" i="17" a="1"/>
  <c r="AK89" i="17" a="1"/>
  <c r="AR23" i="17" a="1"/>
  <c r="AS30" i="17" a="1"/>
  <c r="AP63" i="17" a="1"/>
  <c r="AK84" i="17" a="1"/>
  <c r="M29" i="19" a="1"/>
  <c r="AM39" i="17" a="1"/>
  <c r="AT39" i="17" a="1"/>
  <c r="AK112" i="17" a="1"/>
  <c r="AP101" i="17" a="1"/>
  <c r="AT124" i="17" a="1"/>
  <c r="AK70" i="17" a="1"/>
  <c r="AS119" i="17" a="1"/>
  <c r="AO99" i="17" a="1"/>
  <c r="AL130" i="17" a="1"/>
  <c r="AR53" i="17" a="1"/>
  <c r="AK93" i="17" a="1"/>
  <c r="AN116" i="17" a="1"/>
  <c r="AQ93" i="17" a="1"/>
  <c r="AS8" i="17" a="1"/>
  <c r="AN61" i="17" a="1"/>
  <c r="AR161" i="17" a="1"/>
  <c r="AT15" i="17" a="1"/>
  <c r="AM28" i="17" a="1"/>
  <c r="AP57" i="17" a="1"/>
  <c r="AO194" i="17" a="1"/>
  <c r="AK194" i="17" a="1"/>
  <c r="AS123" i="17" a="1"/>
  <c r="AP91" i="17" a="1"/>
  <c r="AN144" i="17" a="1"/>
  <c r="AN108" i="17" a="1"/>
  <c r="AR170" i="17" a="1"/>
  <c r="AL114" i="17" a="1"/>
  <c r="AR107" i="17" a="1"/>
  <c r="AT106" i="17" a="1"/>
  <c r="AT164" i="17" a="1"/>
  <c r="AK177" i="17" a="1"/>
  <c r="AM124" i="17" a="1"/>
  <c r="AP44" i="17" a="1"/>
  <c r="L35" i="19" a="1"/>
  <c r="AM173" i="17" a="1"/>
  <c r="AL11" i="17" a="1"/>
  <c r="AL164" i="17" a="1"/>
  <c r="AR25" i="17" a="1"/>
  <c r="AQ163" i="17" a="1"/>
  <c r="AN50" i="17" a="1"/>
  <c r="AP163" i="17" a="1"/>
  <c r="AS15" i="17" a="1"/>
  <c r="AN128" i="17" a="1"/>
  <c r="AO85" i="17" a="1"/>
  <c r="AK66" i="17" a="1"/>
  <c r="AN136" i="17" a="1"/>
  <c r="AL154" i="17" a="1"/>
  <c r="AN42" i="17" a="1"/>
  <c r="AL30" i="17" a="1"/>
  <c r="AM145" i="17" a="1"/>
  <c r="AT22" i="17" a="1"/>
  <c r="AM66" i="17" a="1"/>
  <c r="AL170" i="17" a="1"/>
  <c r="AN84" i="17" a="1"/>
  <c r="AN186" i="17" a="1"/>
  <c r="AS149" i="17" a="1"/>
  <c r="AK92" i="17" a="1"/>
  <c r="AM36" i="17" a="1"/>
  <c r="AQ54" i="17" a="1"/>
  <c r="AL19" i="17" a="1"/>
  <c r="AM22" i="17" a="1"/>
  <c r="AK103" i="17" a="1"/>
  <c r="AK169" i="17" a="1"/>
  <c r="AT103" i="17" a="1"/>
  <c r="AP39" i="17" a="1"/>
  <c r="AP24" i="17" a="1"/>
  <c r="AM169" i="17" a="1"/>
  <c r="AT96" i="17" a="1"/>
  <c r="AL51" i="17" a="1"/>
  <c r="AK144" i="17" a="1"/>
  <c r="AT136" i="17" a="1"/>
  <c r="AT163" i="17" a="1"/>
  <c r="AM172" i="17" a="1"/>
  <c r="AL128" i="17" a="1"/>
  <c r="AQ140" i="17" a="1"/>
  <c r="AO169" i="17" a="1"/>
  <c r="AN98" i="17" a="1"/>
  <c r="AT42" i="17" a="1"/>
  <c r="AQ59" i="17" a="1"/>
  <c r="AK123" i="17" a="1"/>
  <c r="AO114" i="17" a="1"/>
  <c r="AO10" i="17" a="1"/>
  <c r="AK35" i="17" a="1"/>
  <c r="AN95" i="17" a="1"/>
  <c r="AR49" i="17" a="1"/>
  <c r="AP173" i="17" a="1"/>
  <c r="AT121" i="17" a="1"/>
  <c r="AP73" i="17" a="1"/>
  <c r="AK85" i="17" a="1"/>
  <c r="AM25" i="17" a="1"/>
  <c r="AP36" i="17" a="1"/>
  <c r="AQ187" i="17" a="1"/>
  <c r="AN187" i="17" a="1"/>
  <c r="AS180" i="17" a="1"/>
  <c r="AR24" i="17" a="1"/>
  <c r="AO190" i="17" a="1"/>
  <c r="AQ19" i="17" a="1"/>
  <c r="AP161" i="17" a="1"/>
  <c r="AO81" i="17" a="1"/>
  <c r="AN117" i="17" a="1"/>
  <c r="AP155" i="17" a="1"/>
  <c r="AQ194" i="17" a="1"/>
  <c r="AP54" i="17" a="1"/>
  <c r="AK100" i="17" a="1"/>
  <c r="AL85" i="17" a="1"/>
  <c r="AK73" i="17" a="1"/>
  <c r="AL151" i="17" a="1"/>
  <c r="AN147" i="17" a="1"/>
  <c r="AK137" i="17" a="1"/>
  <c r="AO68" i="17" a="1"/>
  <c r="AP121" i="17" a="1"/>
  <c r="AQ113" i="17" a="1"/>
  <c r="AP135" i="17" a="1"/>
  <c r="AP19" i="17" a="1"/>
  <c r="AM140" i="17" a="1"/>
  <c r="AR164" i="17" a="1"/>
  <c r="AQ193" i="17" a="1"/>
  <c r="AO120" i="17" a="1"/>
  <c r="AT191" i="17" a="1"/>
  <c r="AO138" i="17" a="1"/>
  <c r="AR33" i="17" a="1"/>
  <c r="AP116" i="17" a="1"/>
  <c r="AM33" i="17" a="1"/>
  <c r="AQ172" i="17" a="1"/>
  <c r="AO44" i="17" a="1"/>
  <c r="AP126" i="17" a="1"/>
  <c r="AS163" i="17" a="1"/>
  <c r="AM189" i="17" a="1"/>
  <c r="AR81" i="17" a="1"/>
  <c r="AQ152" i="17" a="1"/>
  <c r="AR39" i="17" a="1"/>
  <c r="AK68" i="17" a="1"/>
  <c r="AL134" i="17" a="1"/>
  <c r="AN154" i="17" a="1"/>
  <c r="AN30" i="17" a="1"/>
  <c r="AS128" i="17" a="1"/>
  <c r="AK107" i="17" a="1"/>
  <c r="AP77" i="17" a="1"/>
  <c r="AN149" i="17" a="1"/>
  <c r="AO155" i="17" a="1"/>
  <c r="AS66" i="17" a="1"/>
  <c r="AO8" i="17" a="1"/>
  <c r="AN129" i="17" a="1"/>
  <c r="AR106" i="17" a="1"/>
  <c r="AT137" i="17" a="1"/>
  <c r="AT184" i="17" a="1"/>
  <c r="AS11" i="17" a="1"/>
  <c r="AQ18" i="17" a="1"/>
  <c r="AT98" i="17" a="1"/>
  <c r="AS63" i="17" a="1"/>
  <c r="AP136" i="17" a="1"/>
  <c r="AT159" i="17" a="1"/>
  <c r="AM18" i="17" a="1"/>
  <c r="AL32" i="17" a="1"/>
  <c r="AT82" i="17" a="1"/>
  <c r="AS92" i="17" a="1"/>
  <c r="AP184" i="17" a="1"/>
  <c r="AR47" i="17" a="1"/>
  <c r="AL57" i="17" a="1"/>
  <c r="AS60" i="17" a="1"/>
  <c r="AO127" i="17" a="1"/>
  <c r="AL89" i="17" a="1"/>
  <c r="AM155" i="17" a="1"/>
  <c r="AP137" i="17" a="1"/>
  <c r="AS98" i="17" a="1"/>
  <c r="L35" i="19" l="1"/>
  <c r="M29" i="19"/>
  <c r="M37" i="19"/>
  <c r="M45" i="19"/>
  <c r="M17" i="19"/>
  <c r="M24" i="19"/>
  <c r="M16" i="19"/>
  <c r="M10" i="19"/>
  <c r="M28" i="19"/>
  <c r="M44" i="19"/>
  <c r="L14" i="19"/>
  <c r="M26" i="19"/>
  <c r="M27" i="19"/>
  <c r="L8" i="19"/>
  <c r="M42" i="19"/>
  <c r="L18" i="19"/>
  <c r="M31" i="19"/>
  <c r="M20" i="19"/>
  <c r="M40" i="19"/>
  <c r="M25" i="19"/>
  <c r="M30" i="19"/>
  <c r="M15" i="19"/>
  <c r="M33" i="19"/>
  <c r="M7" i="19"/>
  <c r="M9" i="19"/>
  <c r="M23" i="19"/>
  <c r="M34" i="19"/>
  <c r="L12" i="19"/>
  <c r="M47" i="19"/>
  <c r="M43" i="19"/>
  <c r="M32" i="19"/>
  <c r="M21" i="19"/>
  <c r="M46" i="19"/>
  <c r="M39" i="19"/>
  <c r="M19" i="19"/>
  <c r="M36" i="19"/>
  <c r="M41" i="19"/>
  <c r="M11" i="19"/>
  <c r="M48" i="19"/>
  <c r="AM143" i="17"/>
  <c r="AT70" i="17"/>
  <c r="AP162" i="17"/>
  <c r="AP144" i="17"/>
  <c r="AM75" i="17"/>
  <c r="AT178" i="17"/>
  <c r="AM74" i="17"/>
  <c r="AR184" i="17"/>
  <c r="AK183" i="17"/>
  <c r="AM86" i="17"/>
  <c r="AN169" i="17"/>
  <c r="AQ113" i="17"/>
  <c r="AO9" i="17"/>
  <c r="AM87" i="17"/>
  <c r="AQ18" i="17"/>
  <c r="AK85" i="17"/>
  <c r="AS98" i="17"/>
  <c r="AS36" i="17"/>
  <c r="AP19" i="17"/>
  <c r="AR187" i="17"/>
  <c r="AR103" i="17"/>
  <c r="AS149" i="17"/>
  <c r="AM123" i="17"/>
  <c r="AN49" i="17"/>
  <c r="AT30" i="17"/>
  <c r="AQ173" i="17"/>
  <c r="AN164" i="17"/>
  <c r="AL175" i="17"/>
  <c r="AK163" i="17"/>
  <c r="AR185" i="17"/>
  <c r="AP119" i="17"/>
  <c r="AM130" i="17"/>
  <c r="AS112" i="17"/>
  <c r="AT93" i="17"/>
  <c r="AP35" i="17"/>
  <c r="AM148" i="17"/>
  <c r="AO32" i="17"/>
  <c r="AT72" i="17"/>
  <c r="AN131" i="17"/>
  <c r="AM122" i="17"/>
  <c r="AQ157" i="17"/>
  <c r="AL140" i="17"/>
  <c r="AQ190" i="17"/>
  <c r="AT81" i="17"/>
  <c r="AP158" i="17"/>
  <c r="AN78" i="17"/>
  <c r="AR155" i="17"/>
  <c r="AM68" i="17"/>
  <c r="AT43" i="17"/>
  <c r="AO142" i="17"/>
  <c r="AP121" i="17"/>
  <c r="AR89" i="17"/>
  <c r="AL135" i="17"/>
  <c r="AS11" i="17"/>
  <c r="AO189" i="17"/>
  <c r="AS140" i="17"/>
  <c r="AP192" i="17"/>
  <c r="AR85" i="17"/>
  <c r="AM95" i="17"/>
  <c r="AP73" i="17"/>
  <c r="AN142" i="17"/>
  <c r="AM121" i="17"/>
  <c r="AL89" i="17"/>
  <c r="AO170" i="17"/>
  <c r="AN122" i="17"/>
  <c r="AT157" i="17"/>
  <c r="AL190" i="17"/>
  <c r="AM102" i="17"/>
  <c r="AS161" i="17"/>
  <c r="AR191" i="17"/>
  <c r="AO39" i="17"/>
  <c r="AT142" i="17"/>
  <c r="AO121" i="17"/>
  <c r="AS89" i="17"/>
  <c r="AT32" i="17"/>
  <c r="AN133" i="17"/>
  <c r="AT143" i="17"/>
  <c r="AM194" i="17"/>
  <c r="AQ56" i="17"/>
  <c r="AS85" i="17"/>
  <c r="AQ155" i="17"/>
  <c r="AP68" i="17"/>
  <c r="AN39" i="17"/>
  <c r="AK173" i="17"/>
  <c r="AN171" i="17"/>
  <c r="AN32" i="17"/>
  <c r="AP168" i="17"/>
  <c r="AO122" i="17"/>
  <c r="AQ91" i="17"/>
  <c r="AP194" i="17"/>
  <c r="AP64" i="17"/>
  <c r="AN165" i="17"/>
  <c r="AN102" i="17"/>
  <c r="AM161" i="17"/>
  <c r="AK98" i="17"/>
  <c r="AO68" i="17"/>
  <c r="AT184" i="17"/>
  <c r="AP142" i="17"/>
  <c r="AT121" i="17"/>
  <c r="AN89" i="17"/>
  <c r="AS148" i="17"/>
  <c r="AO127" i="17"/>
  <c r="AS22" i="17"/>
  <c r="AQ101" i="17"/>
  <c r="AT71" i="17"/>
  <c r="AN9" i="17"/>
  <c r="AR28" i="17"/>
  <c r="AK177" i="17"/>
  <c r="AM98" i="17"/>
  <c r="AM187" i="17"/>
  <c r="AR115" i="17"/>
  <c r="AL114" i="17"/>
  <c r="AT173" i="17"/>
  <c r="AQ52" i="17"/>
  <c r="AR86" i="17"/>
  <c r="AK127" i="17"/>
  <c r="AO151" i="17"/>
  <c r="AS154" i="17"/>
  <c r="AO92" i="17"/>
  <c r="AT64" i="17"/>
  <c r="AN79" i="17"/>
  <c r="AR78" i="17"/>
  <c r="AS187" i="17"/>
  <c r="AM115" i="17"/>
  <c r="AR114" i="17"/>
  <c r="AO30" i="17"/>
  <c r="AO175" i="17"/>
  <c r="AN185" i="17"/>
  <c r="AP86" i="17"/>
  <c r="AO113" i="17"/>
  <c r="AR168" i="17"/>
  <c r="AR143" i="17"/>
  <c r="AP8" i="17"/>
  <c r="AS28" i="17"/>
  <c r="AN58" i="17"/>
  <c r="AP114" i="17"/>
  <c r="AL65" i="17"/>
  <c r="AQ151" i="17"/>
  <c r="AL101" i="17"/>
  <c r="AS92" i="17"/>
  <c r="AN45" i="17"/>
  <c r="AT150" i="17"/>
  <c r="AT137" i="17"/>
  <c r="AP173" i="17"/>
  <c r="AO152" i="17"/>
  <c r="AR47" i="17"/>
  <c r="AK101" i="17"/>
  <c r="AT91" i="17"/>
  <c r="AQ31" i="17"/>
  <c r="AS23" i="17"/>
  <c r="AO57" i="17"/>
  <c r="AP85" i="17"/>
  <c r="AO58" i="17"/>
  <c r="AO105" i="17"/>
  <c r="AO88" i="17"/>
  <c r="AO40" i="17"/>
  <c r="AS115" i="17"/>
  <c r="AT149" i="17"/>
  <c r="AN114" i="17"/>
  <c r="AS123" i="17"/>
  <c r="AN145" i="17"/>
  <c r="AT24" i="17"/>
  <c r="AK96" i="17"/>
  <c r="AO119" i="17"/>
  <c r="AP130" i="17"/>
  <c r="AN112" i="17"/>
  <c r="AT108" i="17"/>
  <c r="AT186" i="17"/>
  <c r="AK63" i="17"/>
  <c r="AL50" i="17"/>
  <c r="AM77" i="17"/>
  <c r="AP28" i="17"/>
  <c r="AS150" i="17"/>
  <c r="AK58" i="17"/>
  <c r="AR105" i="17"/>
  <c r="AL193" i="17"/>
  <c r="AL88" i="17"/>
  <c r="AK137" i="17"/>
  <c r="AR40" i="17"/>
  <c r="AL84" i="17"/>
  <c r="AR106" i="17"/>
  <c r="AT115" i="17"/>
  <c r="AQ149" i="17"/>
  <c r="AN82" i="17"/>
  <c r="AS114" i="17"/>
  <c r="AN123" i="17"/>
  <c r="AR49" i="17"/>
  <c r="AQ67" i="17"/>
  <c r="AL145" i="17"/>
  <c r="AS60" i="17"/>
  <c r="AS24" i="17"/>
  <c r="AP96" i="17"/>
  <c r="AP185" i="17"/>
  <c r="AQ119" i="17"/>
  <c r="AT130" i="17"/>
  <c r="AL112" i="17"/>
  <c r="AN108" i="17"/>
  <c r="AS35" i="17"/>
  <c r="AK186" i="17"/>
  <c r="AO162" i="17"/>
  <c r="AM84" i="17"/>
  <c r="AK122" i="17"/>
  <c r="AQ178" i="17"/>
  <c r="AK25" i="17"/>
  <c r="AQ68" i="17"/>
  <c r="AL22" i="17"/>
  <c r="AK148" i="17"/>
  <c r="AN22" i="17"/>
  <c r="AQ33" i="17"/>
  <c r="AN168" i="17"/>
  <c r="AP87" i="17"/>
  <c r="AL28" i="17"/>
  <c r="AM127" i="17"/>
  <c r="AK50" i="17"/>
  <c r="AQ186" i="17"/>
  <c r="AO94" i="17"/>
  <c r="AR101" i="17"/>
  <c r="AT45" i="17"/>
  <c r="AS81" i="17"/>
  <c r="AN12" i="17"/>
  <c r="AN147" i="17"/>
  <c r="AN129" i="17"/>
  <c r="AP59" i="17"/>
  <c r="AN95" i="17"/>
  <c r="AR144" i="17"/>
  <c r="AN88" i="17"/>
  <c r="AP137" i="17"/>
  <c r="AQ40" i="17"/>
  <c r="AQ84" i="17"/>
  <c r="AK106" i="17"/>
  <c r="AL115" i="17"/>
  <c r="AO149" i="17"/>
  <c r="AR82" i="17"/>
  <c r="AT107" i="17"/>
  <c r="AQ123" i="17"/>
  <c r="AS49" i="17"/>
  <c r="AO67" i="17"/>
  <c r="AM145" i="17"/>
  <c r="AM60" i="17"/>
  <c r="AQ24" i="17"/>
  <c r="AQ96" i="17"/>
  <c r="AL185" i="17"/>
  <c r="AN119" i="17"/>
  <c r="AR130" i="17"/>
  <c r="AT166" i="17"/>
  <c r="AK108" i="17"/>
  <c r="AT35" i="17"/>
  <c r="AR186" i="17"/>
  <c r="AL109" i="17"/>
  <c r="AO178" i="17"/>
  <c r="AK131" i="17"/>
  <c r="AS191" i="17"/>
  <c r="AP131" i="17"/>
  <c r="AN70" i="17"/>
  <c r="AR135" i="17"/>
  <c r="AQ142" i="17"/>
  <c r="AT74" i="17"/>
  <c r="AO171" i="17"/>
  <c r="AR194" i="17"/>
  <c r="AT148" i="17"/>
  <c r="AS143" i="17"/>
  <c r="AK155" i="17"/>
  <c r="AL151" i="17"/>
  <c r="AO154" i="17"/>
  <c r="AL35" i="17"/>
  <c r="AO8" i="17"/>
  <c r="AK35" i="17"/>
  <c r="AL57" i="17"/>
  <c r="AL10" i="17"/>
  <c r="AL147" i="17"/>
  <c r="AS95" i="17"/>
  <c r="AS144" i="17"/>
  <c r="AS88" i="17"/>
  <c r="AM40" i="17"/>
  <c r="AO115" i="17"/>
  <c r="AM149" i="17"/>
  <c r="AK82" i="17"/>
  <c r="AL107" i="17"/>
  <c r="AM176" i="17"/>
  <c r="AQ42" i="17"/>
  <c r="AT180" i="17"/>
  <c r="AL44" i="17"/>
  <c r="AR121" i="17"/>
  <c r="AO24" i="17"/>
  <c r="AO96" i="17"/>
  <c r="AK185" i="17"/>
  <c r="AT119" i="17"/>
  <c r="AO130" i="17"/>
  <c r="AQ166" i="17"/>
  <c r="AO108" i="17"/>
  <c r="AR35" i="17"/>
  <c r="AP186" i="17"/>
  <c r="M38" i="19"/>
  <c r="AK135" i="17"/>
  <c r="AT11" i="17"/>
  <c r="AK51" i="17"/>
  <c r="AQ10" i="17"/>
  <c r="AP17" i="17"/>
  <c r="AK161" i="17"/>
  <c r="AK191" i="17"/>
  <c r="AK73" i="17"/>
  <c r="AQ46" i="17"/>
  <c r="AO180" i="17"/>
  <c r="AS66" i="17"/>
  <c r="AS86" i="17"/>
  <c r="AO72" i="17"/>
  <c r="AO109" i="17"/>
  <c r="AN51" i="17"/>
  <c r="AM116" i="17"/>
  <c r="AO10" i="17"/>
  <c r="AK37" i="17"/>
  <c r="AT128" i="17"/>
  <c r="AM155" i="17"/>
  <c r="AK84" i="17"/>
  <c r="AO29" i="17"/>
  <c r="AO173" i="17"/>
  <c r="AM66" i="17"/>
  <c r="AL87" i="17"/>
  <c r="AQ183" i="17"/>
  <c r="AS109" i="17"/>
  <c r="AR51" i="17"/>
  <c r="AT140" i="17"/>
  <c r="AR192" i="17"/>
  <c r="AS79" i="17"/>
  <c r="AM78" i="17"/>
  <c r="AN144" i="17"/>
  <c r="AN159" i="17"/>
  <c r="AN46" i="17"/>
  <c r="AN44" i="17"/>
  <c r="AR66" i="17"/>
  <c r="AN87" i="17"/>
  <c r="AK168" i="17"/>
  <c r="AS91" i="17"/>
  <c r="AR116" i="17"/>
  <c r="AL192" i="17"/>
  <c r="AO177" i="17"/>
  <c r="AL98" i="17"/>
  <c r="AO33" i="17"/>
  <c r="AT114" i="17"/>
  <c r="AS121" i="17"/>
  <c r="AT89" i="17"/>
  <c r="AK133" i="17"/>
  <c r="AN143" i="17"/>
  <c r="AO116" i="17"/>
  <c r="AR94" i="17"/>
  <c r="AL85" i="17"/>
  <c r="AO155" i="17"/>
  <c r="AR124" i="17"/>
  <c r="AO114" i="17"/>
  <c r="AS173" i="17"/>
  <c r="AS52" i="17"/>
  <c r="AK70" i="17"/>
  <c r="AT135" i="17"/>
  <c r="AK74" i="17"/>
  <c r="AL122" i="17"/>
  <c r="AN157" i="17"/>
  <c r="AQ165" i="17"/>
  <c r="AP79" i="17"/>
  <c r="AL100" i="17"/>
  <c r="AO36" i="17"/>
  <c r="AT106" i="17"/>
  <c r="AP123" i="17"/>
  <c r="AS164" i="17"/>
  <c r="AQ171" i="17"/>
  <c r="AK65" i="17"/>
  <c r="AT168" i="17"/>
  <c r="AT122" i="17"/>
  <c r="AK194" i="17"/>
  <c r="AL165" i="17"/>
  <c r="AT85" i="17"/>
  <c r="AT36" i="17"/>
  <c r="AL106" i="17"/>
  <c r="AT123" i="17"/>
  <c r="AN163" i="17"/>
  <c r="AK138" i="17"/>
  <c r="AT133" i="17"/>
  <c r="AS50" i="17"/>
  <c r="AL71" i="17"/>
  <c r="AQ77" i="17"/>
  <c r="AQ94" i="17"/>
  <c r="AM79" i="17"/>
  <c r="AS155" i="17"/>
  <c r="AS106" i="17"/>
  <c r="AP138" i="17"/>
  <c r="AM47" i="17"/>
  <c r="AN91" i="17"/>
  <c r="AS31" i="17"/>
  <c r="AK165" i="17"/>
  <c r="AQ57" i="17"/>
  <c r="AK100" i="17"/>
  <c r="AR193" i="17"/>
  <c r="AN103" i="17"/>
  <c r="AN149" i="17"/>
  <c r="AK123" i="17"/>
  <c r="AR164" i="17"/>
  <c r="AQ130" i="17"/>
  <c r="AP63" i="17"/>
  <c r="AS38" i="17"/>
  <c r="AR151" i="17"/>
  <c r="AQ154" i="17"/>
  <c r="AK54" i="17"/>
  <c r="AR92" i="17"/>
  <c r="AS77" i="17"/>
  <c r="AT28" i="17"/>
  <c r="AN177" i="17"/>
  <c r="AO193" i="17"/>
  <c r="AP103" i="17"/>
  <c r="AL82" i="17"/>
  <c r="AT49" i="17"/>
  <c r="AT185" i="17"/>
  <c r="AL38" i="17"/>
  <c r="AP151" i="17"/>
  <c r="AT156" i="17"/>
  <c r="AO54" i="17"/>
  <c r="AM53" i="17"/>
  <c r="AR126" i="17"/>
  <c r="AL45" i="17"/>
  <c r="AQ12" i="17"/>
  <c r="AT61" i="17"/>
  <c r="AT170" i="17"/>
  <c r="AL156" i="17"/>
  <c r="AR99" i="17"/>
  <c r="AL8" i="17"/>
  <c r="AR150" i="17"/>
  <c r="AT38" i="17"/>
  <c r="AS151" i="17"/>
  <c r="AP156" i="17"/>
  <c r="AT50" i="17"/>
  <c r="AP54" i="17"/>
  <c r="AP53" i="17"/>
  <c r="AR140" i="17"/>
  <c r="AP77" i="17"/>
  <c r="AP23" i="17"/>
  <c r="AO28" i="17"/>
  <c r="AM150" i="17"/>
  <c r="AR12" i="17"/>
  <c r="AQ129" i="17"/>
  <c r="AQ59" i="17"/>
  <c r="AQ137" i="17"/>
  <c r="AQ38" i="17"/>
  <c r="AR131" i="17"/>
  <c r="AQ47" i="17"/>
  <c r="AS156" i="17"/>
  <c r="AO182" i="17"/>
  <c r="AS120" i="17"/>
  <c r="AT80" i="17"/>
  <c r="AR189" i="17"/>
  <c r="AP51" i="17"/>
  <c r="AS157" i="17"/>
  <c r="AO136" i="17"/>
  <c r="AO126" i="17"/>
  <c r="AP140" i="17"/>
  <c r="AS10" i="17"/>
  <c r="AL77" i="17"/>
  <c r="AQ45" i="17"/>
  <c r="AL23" i="17"/>
  <c r="AK81" i="17"/>
  <c r="AL17" i="17"/>
  <c r="AK57" i="17"/>
  <c r="AQ150" i="17"/>
  <c r="AK12" i="17"/>
  <c r="AS147" i="17"/>
  <c r="AK129" i="17"/>
  <c r="AO59" i="17"/>
  <c r="AQ95" i="17"/>
  <c r="AT144" i="17"/>
  <c r="AM191" i="17"/>
  <c r="AR137" i="17"/>
  <c r="AS40" i="17"/>
  <c r="AT84" i="17"/>
  <c r="AL73" i="17"/>
  <c r="AK115" i="17"/>
  <c r="AL149" i="17"/>
  <c r="AT82" i="17"/>
  <c r="AK107" i="17"/>
  <c r="AP176" i="17"/>
  <c r="AT42" i="17"/>
  <c r="AL180" i="17"/>
  <c r="AR44" i="17"/>
  <c r="AK121" i="17"/>
  <c r="AP110" i="17"/>
  <c r="AM96" i="17"/>
  <c r="AM185" i="17"/>
  <c r="AR119" i="17"/>
  <c r="AN141" i="17"/>
  <c r="AM166" i="17"/>
  <c r="AQ108" i="17"/>
  <c r="AM35" i="17"/>
  <c r="AN186" i="17"/>
  <c r="AP183" i="17"/>
  <c r="AQ25" i="17"/>
  <c r="AO194" i="17"/>
  <c r="AM23" i="17"/>
  <c r="AO128" i="17"/>
  <c r="AL144" i="17"/>
  <c r="AO172" i="17"/>
  <c r="AK44" i="17"/>
  <c r="M22" i="19"/>
  <c r="AM32" i="17"/>
  <c r="AK170" i="17"/>
  <c r="AL143" i="17"/>
  <c r="AT194" i="17"/>
  <c r="AR56" i="17"/>
  <c r="AQ79" i="17"/>
  <c r="AK78" i="17"/>
  <c r="AN33" i="17"/>
  <c r="AL43" i="17"/>
  <c r="AM30" i="17"/>
  <c r="AL110" i="17"/>
  <c r="AK86" i="17"/>
  <c r="AR32" i="17"/>
  <c r="AN162" i="17"/>
  <c r="AK143" i="17"/>
  <c r="AQ194" i="17"/>
  <c r="AK10" i="17"/>
  <c r="AM37" i="17"/>
  <c r="AS128" i="17"/>
  <c r="AN98" i="17"/>
  <c r="AT124" i="17"/>
  <c r="AQ114" i="17"/>
  <c r="AS30" i="17"/>
  <c r="AM110" i="17"/>
  <c r="AT86" i="17"/>
  <c r="AL183" i="17"/>
  <c r="AQ109" i="17"/>
  <c r="AM157" i="17"/>
  <c r="AR10" i="17"/>
  <c r="AS37" i="17"/>
  <c r="AO79" i="17"/>
  <c r="AO78" i="17"/>
  <c r="AO191" i="17"/>
  <c r="AK159" i="17"/>
  <c r="AL30" i="17"/>
  <c r="AR110" i="17"/>
  <c r="AN86" i="17"/>
  <c r="AR70" i="17"/>
  <c r="AS135" i="17"/>
  <c r="AP154" i="17"/>
  <c r="AK71" i="17"/>
  <c r="AS169" i="17"/>
  <c r="AK28" i="17"/>
  <c r="AQ177" i="17"/>
  <c r="AR36" i="17"/>
  <c r="AK39" i="17"/>
  <c r="AQ30" i="17"/>
  <c r="AT110" i="17"/>
  <c r="AR183" i="17"/>
  <c r="AS133" i="17"/>
  <c r="AQ143" i="17"/>
  <c r="AL116" i="17"/>
  <c r="AP94" i="17"/>
  <c r="AN85" i="17"/>
  <c r="AP155" i="17"/>
  <c r="AS103" i="17"/>
  <c r="AL184" i="17"/>
  <c r="AN30" i="17"/>
  <c r="AR175" i="17"/>
  <c r="AQ89" i="17"/>
  <c r="AS152" i="17"/>
  <c r="AL133" i="17"/>
  <c r="AO91" i="17"/>
  <c r="AO169" i="17"/>
  <c r="AS57" i="17"/>
  <c r="AT100" i="17"/>
  <c r="AS19" i="17"/>
  <c r="AP184" i="17"/>
  <c r="AL173" i="17"/>
  <c r="AK119" i="17"/>
  <c r="AM65" i="17"/>
  <c r="AK117" i="17"/>
  <c r="AT101" i="17"/>
  <c r="AT92" i="17"/>
  <c r="AR45" i="17"/>
  <c r="AM177" i="17"/>
  <c r="AO184" i="17"/>
  <c r="AP152" i="17"/>
  <c r="AQ133" i="17"/>
  <c r="AM71" i="17"/>
  <c r="AQ8" i="17"/>
  <c r="AK94" i="17"/>
  <c r="AQ85" i="17"/>
  <c r="AR58" i="17"/>
  <c r="AR88" i="17"/>
  <c r="AO106" i="17"/>
  <c r="AQ184" i="17"/>
  <c r="AL49" i="17"/>
  <c r="AL96" i="17"/>
  <c r="AR112" i="17"/>
  <c r="AR72" i="17"/>
  <c r="AR133" i="17"/>
  <c r="AS71" i="17"/>
  <c r="AM45" i="17"/>
  <c r="AR100" i="17"/>
  <c r="AP106" i="17"/>
  <c r="AR60" i="17"/>
  <c r="AL72" i="17"/>
  <c r="AN117" i="17"/>
  <c r="AN154" i="17"/>
  <c r="AK99" i="17"/>
  <c r="AQ140" i="17"/>
  <c r="AQ23" i="17"/>
  <c r="AP100" i="17"/>
  <c r="AL63" i="17"/>
  <c r="AM72" i="17"/>
  <c r="AT151" i="17"/>
  <c r="AO47" i="17"/>
  <c r="AQ50" i="17"/>
  <c r="AQ53" i="17"/>
  <c r="AT126" i="17"/>
  <c r="AN77" i="17"/>
  <c r="AN28" i="17"/>
  <c r="AQ61" i="17"/>
  <c r="AR170" i="17"/>
  <c r="AK47" i="17"/>
  <c r="AO101" i="17"/>
  <c r="AT99" i="17"/>
  <c r="AM126" i="17"/>
  <c r="AS45" i="17"/>
  <c r="AP57" i="17"/>
  <c r="AP84" i="17"/>
  <c r="AK32" i="17"/>
  <c r="AS170" i="17"/>
  <c r="AM38" i="17"/>
  <c r="AP170" i="17"/>
  <c r="AM131" i="17"/>
  <c r="AP47" i="17"/>
  <c r="AN156" i="17"/>
  <c r="AN182" i="17"/>
  <c r="AM120" i="17"/>
  <c r="AR80" i="17"/>
  <c r="AL189" i="17"/>
  <c r="AS51" i="17"/>
  <c r="AP157" i="17"/>
  <c r="AM136" i="17"/>
  <c r="AL126" i="17"/>
  <c r="AK140" i="17"/>
  <c r="AT10" i="17"/>
  <c r="AR190" i="17"/>
  <c r="AK45" i="17"/>
  <c r="AN23" i="17"/>
  <c r="AO81" i="17"/>
  <c r="AM17" i="17"/>
  <c r="AO158" i="17"/>
  <c r="AL134" i="17"/>
  <c r="AL128" i="17"/>
  <c r="AL161" i="17"/>
  <c r="AP78" i="17"/>
  <c r="AM59" i="17"/>
  <c r="AP95" i="17"/>
  <c r="AO144" i="17"/>
  <c r="AL191" i="17"/>
  <c r="AS137" i="17"/>
  <c r="AL40" i="17"/>
  <c r="AS84" i="17"/>
  <c r="AR73" i="17"/>
  <c r="AL172" i="17"/>
  <c r="AK149" i="17"/>
  <c r="AS82" i="17"/>
  <c r="AN107" i="17"/>
  <c r="AR176" i="17"/>
  <c r="AN42" i="17"/>
  <c r="AM180" i="17"/>
  <c r="AM44" i="17"/>
  <c r="AN121" i="17"/>
  <c r="AQ110" i="17"/>
  <c r="AL66" i="17"/>
  <c r="AL179" i="17"/>
  <c r="AQ15" i="17"/>
  <c r="AK141" i="17"/>
  <c r="AL166" i="17"/>
  <c r="AM108" i="17"/>
  <c r="AN35" i="17"/>
  <c r="AL186" i="17"/>
  <c r="AQ170" i="17"/>
  <c r="AT189" i="17"/>
  <c r="AN126" i="17"/>
  <c r="AM56" i="17"/>
  <c r="AR134" i="17"/>
  <c r="AK95" i="17"/>
  <c r="AK40" i="17"/>
  <c r="AN29" i="17"/>
  <c r="AR30" i="17"/>
  <c r="AK110" i="17"/>
  <c r="AK179" i="17"/>
  <c r="AK87" i="17"/>
  <c r="AS183" i="17"/>
  <c r="AN25" i="17"/>
  <c r="AO157" i="17"/>
  <c r="AK190" i="17"/>
  <c r="AT102" i="17"/>
  <c r="AP161" i="17"/>
  <c r="AK68" i="17"/>
  <c r="AM172" i="17"/>
  <c r="AT46" i="17"/>
  <c r="AP44" i="17"/>
  <c r="AO179" i="17"/>
  <c r="AQ70" i="17"/>
  <c r="AP135" i="17"/>
  <c r="AK11" i="17"/>
  <c r="AR91" i="17"/>
  <c r="AS116" i="17"/>
  <c r="AN56" i="17"/>
  <c r="AM85" i="17"/>
  <c r="AT155" i="17"/>
  <c r="AK33" i="17"/>
  <c r="AS184" i="17"/>
  <c r="AR173" i="17"/>
  <c r="AK171" i="17"/>
  <c r="AN75" i="17"/>
  <c r="AT154" i="17"/>
  <c r="AR122" i="17"/>
  <c r="AO51" i="17"/>
  <c r="AQ169" i="17"/>
  <c r="AP190" i="17"/>
  <c r="AL102" i="17"/>
  <c r="AN161" i="17"/>
  <c r="AM144" i="17"/>
  <c r="AK124" i="17"/>
  <c r="AO46" i="17"/>
  <c r="AO164" i="17"/>
  <c r="AP66" i="17"/>
  <c r="AO87" i="17"/>
  <c r="AO75" i="17"/>
  <c r="AK109" i="17"/>
  <c r="AL157" i="17"/>
  <c r="AM9" i="17"/>
  <c r="AK79" i="17"/>
  <c r="AS78" i="17"/>
  <c r="AN191" i="17"/>
  <c r="AM159" i="17"/>
  <c r="AO123" i="17"/>
  <c r="AQ164" i="17"/>
  <c r="AT87" i="17"/>
  <c r="AQ75" i="17"/>
  <c r="AK154" i="17"/>
  <c r="AK91" i="17"/>
  <c r="AO64" i="17"/>
  <c r="AO102" i="17"/>
  <c r="AQ78" i="17"/>
  <c r="AQ19" i="17"/>
  <c r="AR39" i="17"/>
  <c r="AM142" i="17"/>
  <c r="AT163" i="17"/>
  <c r="AM138" i="17"/>
  <c r="AP117" i="17"/>
  <c r="AP101" i="17"/>
  <c r="AN71" i="17"/>
  <c r="AK116" i="17"/>
  <c r="AL94" i="17"/>
  <c r="AP177" i="17"/>
  <c r="AO98" i="17"/>
  <c r="AM103" i="17"/>
  <c r="AQ39" i="17"/>
  <c r="AP49" i="17"/>
  <c r="AT164" i="17"/>
  <c r="AO89" i="17"/>
  <c r="AR148" i="17"/>
  <c r="AK152" i="17"/>
  <c r="AL154" i="17"/>
  <c r="AL91" i="17"/>
  <c r="AL31" i="17"/>
  <c r="AS165" i="17"/>
  <c r="AN57" i="17"/>
  <c r="AO100" i="17"/>
  <c r="AP115" i="17"/>
  <c r="AS127" i="17"/>
  <c r="AO117" i="17"/>
  <c r="AP143" i="17"/>
  <c r="AP18" i="17"/>
  <c r="AK77" i="17"/>
  <c r="AM28" i="17"/>
  <c r="AR177" i="17"/>
  <c r="AT105" i="17"/>
  <c r="AT40" i="17"/>
  <c r="AN115" i="17"/>
  <c r="AK114" i="17"/>
  <c r="AM67" i="17"/>
  <c r="AP175" i="17"/>
  <c r="AQ185" i="17"/>
  <c r="AL119" i="17"/>
  <c r="AM93" i="17"/>
  <c r="AP61" i="17"/>
  <c r="AQ117" i="17"/>
  <c r="AO50" i="17"/>
  <c r="AK18" i="17"/>
  <c r="AO150" i="17"/>
  <c r="AN137" i="17"/>
  <c r="AT67" i="17"/>
  <c r="AK61" i="17"/>
  <c r="AQ152" i="17"/>
  <c r="AT47" i="17"/>
  <c r="AM101" i="17"/>
  <c r="AT136" i="17"/>
  <c r="AR8" i="17"/>
  <c r="AM94" i="17"/>
  <c r="AS177" i="17"/>
  <c r="AK38" i="17"/>
  <c r="AL117" i="17"/>
  <c r="AR154" i="17"/>
  <c r="AR54" i="17"/>
  <c r="AR136" i="17"/>
  <c r="AM140" i="17"/>
  <c r="AR23" i="17"/>
  <c r="AM57" i="17"/>
  <c r="AP32" i="17"/>
  <c r="AP72" i="17"/>
  <c r="AR117" i="17"/>
  <c r="AQ182" i="17"/>
  <c r="AN136" i="17"/>
  <c r="AP81" i="17"/>
  <c r="AQ73" i="17"/>
  <c r="AR61" i="17"/>
  <c r="AN72" i="17"/>
  <c r="AT117" i="17"/>
  <c r="AQ32" i="17"/>
  <c r="AN135" i="17"/>
  <c r="AQ72" i="17"/>
  <c r="AS117" i="17"/>
  <c r="AS32" i="17"/>
  <c r="AO135" i="17"/>
  <c r="AO38" i="17"/>
  <c r="AK72" i="17"/>
  <c r="AN170" i="17"/>
  <c r="AO131" i="17"/>
  <c r="AM162" i="17"/>
  <c r="AN47" i="17"/>
  <c r="AR156" i="17"/>
  <c r="AP182" i="17"/>
  <c r="AP120" i="17"/>
  <c r="AN80" i="17"/>
  <c r="AN189" i="17"/>
  <c r="AT51" i="17"/>
  <c r="AR157" i="17"/>
  <c r="AS194" i="17"/>
  <c r="AK126" i="17"/>
  <c r="AN140" i="17"/>
  <c r="AM10" i="17"/>
  <c r="AO190" i="17"/>
  <c r="AO45" i="17"/>
  <c r="AO23" i="17"/>
  <c r="AR81" i="17"/>
  <c r="AR17" i="17"/>
  <c r="AN158" i="17"/>
  <c r="AP134" i="17"/>
  <c r="AR128" i="17"/>
  <c r="AQ161" i="17"/>
  <c r="AL78" i="17"/>
  <c r="AR59" i="17"/>
  <c r="AT95" i="17"/>
  <c r="AK144" i="17"/>
  <c r="AQ191" i="17"/>
  <c r="AS68" i="17"/>
  <c r="AP40" i="17"/>
  <c r="AN84" i="17"/>
  <c r="AO73" i="17"/>
  <c r="AK172" i="17"/>
  <c r="AK43" i="17"/>
  <c r="AT29" i="17"/>
  <c r="AL46" i="17"/>
  <c r="AK142" i="17"/>
  <c r="AK30" i="17"/>
  <c r="AQ180" i="17"/>
  <c r="AQ44" i="17"/>
  <c r="AQ121" i="17"/>
  <c r="AO110" i="17"/>
  <c r="AK66" i="17"/>
  <c r="AP179" i="17"/>
  <c r="AT15" i="17"/>
  <c r="AO86" i="17"/>
  <c r="AQ87" i="17"/>
  <c r="AL70" i="17"/>
  <c r="AK178" i="17"/>
  <c r="AO186" i="17"/>
  <c r="AM24" i="17"/>
  <c r="AR96" i="17"/>
  <c r="AR52" i="17"/>
  <c r="AS185" i="17"/>
  <c r="AM171" i="17"/>
  <c r="AM15" i="17"/>
  <c r="AQ141" i="17"/>
  <c r="AL86" i="17"/>
  <c r="AS166" i="17"/>
  <c r="AR93" i="17"/>
  <c r="AR108" i="17"/>
  <c r="AS113" i="17"/>
  <c r="AQ35" i="17"/>
  <c r="AL32" i="17"/>
  <c r="AR38" i="17"/>
  <c r="AS138" i="17"/>
  <c r="AK22" i="17"/>
  <c r="AM117" i="17"/>
  <c r="AO168" i="17"/>
  <c r="AT25" i="17"/>
  <c r="AK120" i="17"/>
  <c r="AO80" i="17"/>
  <c r="AM189" i="17"/>
  <c r="AL51" i="17"/>
  <c r="AO53" i="17"/>
  <c r="AK136" i="17"/>
  <c r="AS126" i="17"/>
  <c r="AO140" i="17"/>
  <c r="AM8" i="17"/>
  <c r="AK64" i="17"/>
  <c r="AR77" i="17"/>
  <c r="AK9" i="17"/>
  <c r="AP45" i="17"/>
  <c r="AN94" i="17"/>
  <c r="AT37" i="17"/>
  <c r="AK102" i="17"/>
  <c r="AS158" i="17"/>
  <c r="AT79" i="17"/>
  <c r="AQ134" i="17"/>
  <c r="AO85" i="17"/>
  <c r="AM128" i="17"/>
  <c r="AK147" i="17"/>
  <c r="AR161" i="17"/>
  <c r="AM129" i="17"/>
  <c r="AT78" i="17"/>
  <c r="AL59" i="17"/>
  <c r="AO95" i="17"/>
  <c r="AT193" i="17"/>
  <c r="AQ144" i="17"/>
  <c r="AM88" i="17"/>
  <c r="AR19" i="17"/>
  <c r="AL137" i="17"/>
  <c r="AP187" i="17"/>
  <c r="AN40" i="17"/>
  <c r="AO103" i="17"/>
  <c r="AO124" i="17"/>
  <c r="AQ106" i="17"/>
  <c r="AO159" i="17"/>
  <c r="AQ115" i="17"/>
  <c r="AL39" i="17"/>
  <c r="AS43" i="17"/>
  <c r="AK184" i="17"/>
  <c r="AM29" i="17"/>
  <c r="AM114" i="17"/>
  <c r="AK46" i="17"/>
  <c r="AR180" i="17"/>
  <c r="AR145" i="17"/>
  <c r="AT44" i="17"/>
  <c r="AL60" i="17"/>
  <c r="AL121" i="17"/>
  <c r="AR24" i="17"/>
  <c r="AS163" i="17"/>
  <c r="AT96" i="17"/>
  <c r="AM52" i="17"/>
  <c r="AO185" i="17"/>
  <c r="AS171" i="17"/>
  <c r="AN15" i="17"/>
  <c r="AK89" i="17"/>
  <c r="AO141" i="17"/>
  <c r="AQ86" i="17"/>
  <c r="AO166" i="17"/>
  <c r="AS93" i="17"/>
  <c r="AL108" i="17"/>
  <c r="AL113" i="17"/>
  <c r="AO35" i="17"/>
  <c r="AQ148" i="17"/>
  <c r="AT63" i="17"/>
  <c r="AP127" i="17"/>
  <c r="AN61" i="17"/>
  <c r="AN65" i="17"/>
  <c r="AP38" i="17"/>
  <c r="AR138" i="17"/>
  <c r="AR75" i="17"/>
  <c r="AT152" i="17"/>
  <c r="AQ22" i="17"/>
  <c r="AN151" i="17"/>
  <c r="AN74" i="17"/>
  <c r="AK162" i="17"/>
  <c r="AS168" i="17"/>
  <c r="AQ11" i="17"/>
  <c r="AP133" i="17"/>
  <c r="AO25" i="17"/>
  <c r="AM182" i="17"/>
  <c r="AM109" i="17"/>
  <c r="AT120" i="17"/>
  <c r="AP122" i="17"/>
  <c r="AS80" i="17"/>
  <c r="AT54" i="17"/>
  <c r="AP189" i="17"/>
  <c r="AL99" i="17"/>
  <c r="AQ51" i="17"/>
  <c r="AK53" i="17"/>
  <c r="AQ92" i="17"/>
  <c r="AS136" i="17"/>
  <c r="AM18" i="17"/>
  <c r="AP126" i="17"/>
  <c r="AK31" i="17"/>
  <c r="AM169" i="17"/>
  <c r="AN8" i="17"/>
  <c r="AR64" i="17"/>
  <c r="AO77" i="17"/>
  <c r="AP9" i="17"/>
  <c r="AK56" i="17"/>
  <c r="AM165" i="17"/>
  <c r="AK192" i="17"/>
  <c r="AS94" i="17"/>
  <c r="AR37" i="17"/>
  <c r="AO17" i="17"/>
  <c r="AQ102" i="17"/>
  <c r="AT158" i="17"/>
  <c r="AL79" i="17"/>
  <c r="AM134" i="17"/>
  <c r="AL12" i="17"/>
  <c r="AN128" i="17"/>
  <c r="AM147" i="17"/>
  <c r="AT161" i="17"/>
  <c r="AP129" i="17"/>
  <c r="AQ58" i="17"/>
  <c r="AK59" i="17"/>
  <c r="AL105" i="17"/>
  <c r="AR95" i="17"/>
  <c r="AK193" i="17"/>
  <c r="AK36" i="17"/>
  <c r="AT88" i="17"/>
  <c r="AO19" i="17"/>
  <c r="AO137" i="17"/>
  <c r="AO187" i="17"/>
  <c r="AL33" i="17"/>
  <c r="AL103" i="17"/>
  <c r="AN124" i="17"/>
  <c r="AN106" i="17"/>
  <c r="AQ159" i="17"/>
  <c r="AR172" i="17"/>
  <c r="AS39" i="17"/>
  <c r="AN43" i="17"/>
  <c r="AN184" i="17"/>
  <c r="AK29" i="17"/>
  <c r="AM107" i="17"/>
  <c r="AM46" i="17"/>
  <c r="AN176" i="17"/>
  <c r="AS142" i="17"/>
  <c r="AL42" i="17"/>
  <c r="AP67" i="17"/>
  <c r="AS180" i="17"/>
  <c r="AP145" i="17"/>
  <c r="AO44" i="17"/>
  <c r="AO60" i="17"/>
  <c r="AM175" i="17"/>
  <c r="AP24" i="17"/>
  <c r="AO163" i="17"/>
  <c r="AS96" i="17"/>
  <c r="AK52" i="17"/>
  <c r="AS179" i="17"/>
  <c r="AT171" i="17"/>
  <c r="AO15" i="17"/>
  <c r="AM89" i="17"/>
  <c r="AP141" i="17"/>
  <c r="AK112" i="17"/>
  <c r="AK166" i="17"/>
  <c r="AP93" i="17"/>
  <c r="AP108" i="17"/>
  <c r="AT113" i="17"/>
  <c r="AM178" i="17"/>
  <c r="AL148" i="17"/>
  <c r="AR74" i="17"/>
  <c r="AQ105" i="17"/>
  <c r="AM152" i="17"/>
  <c r="AM51" i="17"/>
  <c r="AN31" i="17"/>
  <c r="AS8" i="17"/>
  <c r="AQ9" i="17"/>
  <c r="AS56" i="17"/>
  <c r="AO165" i="17"/>
  <c r="AM192" i="17"/>
  <c r="AT94" i="17"/>
  <c r="AP37" i="17"/>
  <c r="AK17" i="17"/>
  <c r="AR102" i="17"/>
  <c r="AR158" i="17"/>
  <c r="AR79" i="17"/>
  <c r="AT134" i="17"/>
  <c r="AM12" i="17"/>
  <c r="AQ128" i="17"/>
  <c r="AP147" i="17"/>
  <c r="AO161" i="17"/>
  <c r="AR129" i="17"/>
  <c r="AL58" i="17"/>
  <c r="AT59" i="17"/>
  <c r="AS105" i="17"/>
  <c r="AL95" i="17"/>
  <c r="AM193" i="17"/>
  <c r="AN36" i="17"/>
  <c r="AQ88" i="17"/>
  <c r="AM19" i="17"/>
  <c r="AM137" i="17"/>
  <c r="AK187" i="17"/>
  <c r="AT33" i="17"/>
  <c r="AQ103" i="17"/>
  <c r="AQ124" i="17"/>
  <c r="AM106" i="17"/>
  <c r="AT159" i="17"/>
  <c r="AQ172" i="17"/>
  <c r="AP39" i="17"/>
  <c r="AP43" i="17"/>
  <c r="AM184" i="17"/>
  <c r="AR29" i="17"/>
  <c r="AO107" i="17"/>
  <c r="AR46" i="17"/>
  <c r="AT176" i="17"/>
  <c r="AL142" i="17"/>
  <c r="AP42" i="17"/>
  <c r="AL67" i="17"/>
  <c r="AP180" i="17"/>
  <c r="AK145" i="17"/>
  <c r="AS44" i="17"/>
  <c r="AK60" i="17"/>
  <c r="AQ175" i="17"/>
  <c r="AL24" i="17"/>
  <c r="AL163" i="17"/>
  <c r="AN96" i="17"/>
  <c r="AL52" i="17"/>
  <c r="AM179" i="17"/>
  <c r="AL171" i="17"/>
  <c r="AS15" i="17"/>
  <c r="AP89" i="17"/>
  <c r="AR141" i="17"/>
  <c r="AP112" i="17"/>
  <c r="AR166" i="17"/>
  <c r="AN93" i="17"/>
  <c r="AS108" i="17"/>
  <c r="AN113" i="17"/>
  <c r="AP178" i="17"/>
  <c r="AP148" i="17"/>
  <c r="AR109" i="17"/>
  <c r="AL176" i="17"/>
  <c r="AM61" i="17"/>
  <c r="AM99" i="17"/>
  <c r="AK8" i="17"/>
  <c r="AS9" i="17"/>
  <c r="AP56" i="17"/>
  <c r="AR165" i="17"/>
  <c r="AO192" i="17"/>
  <c r="AL81" i="17"/>
  <c r="AK158" i="17"/>
  <c r="AL150" i="17"/>
  <c r="AK134" i="17"/>
  <c r="AT12" i="17"/>
  <c r="AK128" i="17"/>
  <c r="AT147" i="17"/>
  <c r="AQ100" i="17"/>
  <c r="AT129" i="17"/>
  <c r="AP58" i="17"/>
  <c r="AS59" i="17"/>
  <c r="AP105" i="17"/>
  <c r="AR98" i="17"/>
  <c r="AS193" i="17"/>
  <c r="AL36" i="17"/>
  <c r="AP88" i="17"/>
  <c r="AK19" i="17"/>
  <c r="AT68" i="17"/>
  <c r="AN187" i="17"/>
  <c r="AM33" i="17"/>
  <c r="AT103" i="17"/>
  <c r="AL124" i="17"/>
  <c r="AS73" i="17"/>
  <c r="AR159" i="17"/>
  <c r="AT172" i="17"/>
  <c r="AT39" i="17"/>
  <c r="AR43" i="17"/>
  <c r="AP82" i="17"/>
  <c r="AL29" i="17"/>
  <c r="AQ107" i="17"/>
  <c r="AP46" i="17"/>
  <c r="AK176" i="17"/>
  <c r="AM49" i="17"/>
  <c r="AS42" i="17"/>
  <c r="AR67" i="17"/>
  <c r="AK180" i="17"/>
  <c r="AQ145" i="17"/>
  <c r="AP164" i="17"/>
  <c r="AT60" i="17"/>
  <c r="AK175" i="17"/>
  <c r="AK24" i="17"/>
  <c r="AP163" i="17"/>
  <c r="AO66" i="17"/>
  <c r="AP52" i="17"/>
  <c r="AN179" i="17"/>
  <c r="AR171" i="17"/>
  <c r="AK15" i="17"/>
  <c r="AS130" i="17"/>
  <c r="AL141" i="17"/>
  <c r="AO112" i="17"/>
  <c r="AN166" i="17"/>
  <c r="AQ93" i="17"/>
  <c r="AM70" i="17"/>
  <c r="AM113" i="17"/>
  <c r="AR178" i="17"/>
  <c r="AN148" i="17"/>
  <c r="AO61" i="17"/>
  <c r="AR152" i="17"/>
  <c r="AO133" i="17"/>
  <c r="AO143" i="17"/>
  <c r="AT18" i="17"/>
  <c r="AT165" i="17"/>
  <c r="AP30" i="17"/>
  <c r="AR127" i="17"/>
  <c r="AN38" i="17"/>
  <c r="AK151" i="17"/>
  <c r="AM133" i="17"/>
  <c r="AQ122" i="17"/>
  <c r="AL92" i="17"/>
  <c r="AT77" i="17"/>
  <c r="AO65" i="17"/>
  <c r="AS75" i="17"/>
  <c r="AS74" i="17"/>
  <c r="AR11" i="17"/>
  <c r="AS182" i="17"/>
  <c r="AR50" i="17"/>
  <c r="AS189" i="17"/>
  <c r="AP71" i="17"/>
  <c r="AP136" i="17"/>
  <c r="AP116" i="17"/>
  <c r="AK169" i="17"/>
  <c r="AS190" i="17"/>
  <c r="AL37" i="17"/>
  <c r="AO63" i="17"/>
  <c r="AS61" i="17"/>
  <c r="AP65" i="17"/>
  <c r="AO183" i="17"/>
  <c r="AL138" i="17"/>
  <c r="AL75" i="17"/>
  <c r="AL152" i="17"/>
  <c r="AR22" i="17"/>
  <c r="AL131" i="17"/>
  <c r="AP74" i="17"/>
  <c r="AT162" i="17"/>
  <c r="AQ168" i="17"/>
  <c r="AN11" i="17"/>
  <c r="AQ156" i="17"/>
  <c r="AP25" i="17"/>
  <c r="AT182" i="17"/>
  <c r="AP109" i="17"/>
  <c r="AL120" i="17"/>
  <c r="AN50" i="17"/>
  <c r="AM80" i="17"/>
  <c r="AL54" i="17"/>
  <c r="AQ189" i="17"/>
  <c r="AN99" i="17"/>
  <c r="AO71" i="17"/>
  <c r="AT53" i="17"/>
  <c r="AP92" i="17"/>
  <c r="AL136" i="17"/>
  <c r="AO18" i="17"/>
  <c r="AN116" i="17"/>
  <c r="AP31" i="17"/>
  <c r="AR169" i="17"/>
  <c r="AT8" i="17"/>
  <c r="AS64" i="17"/>
  <c r="AM190" i="17"/>
  <c r="AL9" i="17"/>
  <c r="AO56" i="17"/>
  <c r="AP165" i="17"/>
  <c r="AT192" i="17"/>
  <c r="AM81" i="17"/>
  <c r="AQ37" i="17"/>
  <c r="AT17" i="17"/>
  <c r="AP102" i="17"/>
  <c r="AL158" i="17"/>
  <c r="AP150" i="17"/>
  <c r="AS134" i="17"/>
  <c r="AO12" i="17"/>
  <c r="AP128" i="17"/>
  <c r="AO147" i="17"/>
  <c r="AN100" i="17"/>
  <c r="AL129" i="17"/>
  <c r="AT58" i="17"/>
  <c r="AN59" i="17"/>
  <c r="AN105" i="17"/>
  <c r="AP98" i="17"/>
  <c r="AP193" i="17"/>
  <c r="AQ36" i="17"/>
  <c r="AK88" i="17"/>
  <c r="AT19" i="17"/>
  <c r="AN68" i="17"/>
  <c r="AQ187" i="17"/>
  <c r="AR33" i="17"/>
  <c r="AK103" i="17"/>
  <c r="AP124" i="17"/>
  <c r="AM73" i="17"/>
  <c r="AP159" i="17"/>
  <c r="AS172" i="17"/>
  <c r="AM39" i="17"/>
  <c r="AM43" i="17"/>
  <c r="AM82" i="17"/>
  <c r="AQ29" i="17"/>
  <c r="AP107" i="17"/>
  <c r="AS46" i="17"/>
  <c r="AO176" i="17"/>
  <c r="AO49" i="17"/>
  <c r="AR42" i="17"/>
  <c r="AN67" i="17"/>
  <c r="AN180" i="17"/>
  <c r="AS145" i="17"/>
  <c r="AM164" i="17"/>
  <c r="AQ60" i="17"/>
  <c r="AT175" i="17"/>
  <c r="AN24" i="17"/>
  <c r="AQ163" i="17"/>
  <c r="AT66" i="17"/>
  <c r="AT52" i="17"/>
  <c r="AQ179" i="17"/>
  <c r="AP171" i="17"/>
  <c r="AP15" i="17"/>
  <c r="AN130" i="17"/>
  <c r="AT141" i="17"/>
  <c r="AM112" i="17"/>
  <c r="AP166" i="17"/>
  <c r="AK93" i="17"/>
  <c r="AP70" i="17"/>
  <c r="AP113" i="17"/>
  <c r="AL178" i="17"/>
  <c r="AO148" i="17"/>
  <c r="M13" i="19"/>
  <c r="AQ65" i="17"/>
  <c r="AM151" i="17"/>
  <c r="AM154" i="17"/>
  <c r="AQ99" i="17"/>
  <c r="AT31" i="17"/>
  <c r="AQ28" i="17"/>
  <c r="AR142" i="17"/>
  <c r="AN63" i="17"/>
  <c r="AR65" i="17"/>
  <c r="AP75" i="17"/>
  <c r="AL74" i="17"/>
  <c r="AL162" i="17"/>
  <c r="AP11" i="17"/>
  <c r="AL25" i="17"/>
  <c r="AR182" i="17"/>
  <c r="AN120" i="17"/>
  <c r="AP80" i="17"/>
  <c r="AK189" i="17"/>
  <c r="AS99" i="17"/>
  <c r="AL53" i="17"/>
  <c r="AN18" i="17"/>
  <c r="AQ126" i="17"/>
  <c r="AL169" i="17"/>
  <c r="AS63" i="17"/>
  <c r="AO138" i="17"/>
  <c r="AM22" i="17"/>
  <c r="AR162" i="17"/>
  <c r="AK156" i="17"/>
  <c r="AT109" i="17"/>
  <c r="AK80" i="17"/>
  <c r="AK92" i="17"/>
  <c r="AM31" i="17"/>
  <c r="AS102" i="17"/>
  <c r="AL127" i="17"/>
  <c r="AT65" i="17"/>
  <c r="AM183" i="17"/>
  <c r="AN138" i="17"/>
  <c r="AT75" i="17"/>
  <c r="AM170" i="17"/>
  <c r="AP22" i="17"/>
  <c r="AS131" i="17"/>
  <c r="AO74" i="17"/>
  <c r="AS162" i="17"/>
  <c r="AL47" i="17"/>
  <c r="AM11" i="17"/>
  <c r="AO156" i="17"/>
  <c r="AR25" i="17"/>
  <c r="AL182" i="17"/>
  <c r="AS101" i="17"/>
  <c r="AR120" i="17"/>
  <c r="AM50" i="17"/>
  <c r="AQ80" i="17"/>
  <c r="AS54" i="17"/>
  <c r="AM91" i="17"/>
  <c r="AP99" i="17"/>
  <c r="AQ71" i="17"/>
  <c r="AR53" i="17"/>
  <c r="AM92" i="17"/>
  <c r="AN194" i="17"/>
  <c r="AL18" i="17"/>
  <c r="AQ116" i="17"/>
  <c r="AR31" i="17"/>
  <c r="AP169" i="17"/>
  <c r="AP10" i="17"/>
  <c r="AN64" i="17"/>
  <c r="AT190" i="17"/>
  <c r="AR9" i="17"/>
  <c r="AT56" i="17"/>
  <c r="AT23" i="17"/>
  <c r="AS192" i="17"/>
  <c r="AQ81" i="17"/>
  <c r="AO37" i="17"/>
  <c r="AS17" i="17"/>
  <c r="AR57" i="17"/>
  <c r="AM158" i="17"/>
  <c r="AN150" i="17"/>
  <c r="AO134" i="17"/>
  <c r="AP12" i="17"/>
  <c r="AT177" i="17"/>
  <c r="AQ147" i="17"/>
  <c r="AM100" i="17"/>
  <c r="AO129" i="17"/>
  <c r="AM58" i="17"/>
  <c r="AN155" i="17"/>
  <c r="AK105" i="17"/>
  <c r="AQ98" i="17"/>
  <c r="AN193" i="17"/>
  <c r="AP36" i="17"/>
  <c r="AT191" i="17"/>
  <c r="AL19" i="17"/>
  <c r="AL68" i="17"/>
  <c r="AT187" i="17"/>
  <c r="AS33" i="17"/>
  <c r="AO84" i="17"/>
  <c r="AM124" i="17"/>
  <c r="AN73" i="17"/>
  <c r="AL159" i="17"/>
  <c r="AN172" i="17"/>
  <c r="AP149" i="17"/>
  <c r="AQ43" i="17"/>
  <c r="AQ82" i="17"/>
  <c r="AP29" i="17"/>
  <c r="AS107" i="17"/>
  <c r="AL123" i="17"/>
  <c r="AS176" i="17"/>
  <c r="AQ49" i="17"/>
  <c r="AK42" i="17"/>
  <c r="AS67" i="17"/>
  <c r="AN173" i="17"/>
  <c r="AT145" i="17"/>
  <c r="AL164" i="17"/>
  <c r="AP60" i="17"/>
  <c r="AN175" i="17"/>
  <c r="AN110" i="17"/>
  <c r="AM163" i="17"/>
  <c r="AQ66" i="17"/>
  <c r="AN52" i="17"/>
  <c r="AR179" i="17"/>
  <c r="AM119" i="17"/>
  <c r="AR15" i="17"/>
  <c r="AL130" i="17"/>
  <c r="AS141" i="17"/>
  <c r="AQ112" i="17"/>
  <c r="AR87" i="17"/>
  <c r="AL93" i="17"/>
  <c r="AO70" i="17"/>
  <c r="AR113" i="17"/>
  <c r="AN178" i="17"/>
  <c r="AS186" i="17"/>
  <c r="AR63" i="17"/>
  <c r="AS72" i="17"/>
  <c r="AO11" i="17"/>
  <c r="AS122" i="17"/>
  <c r="AK157" i="17"/>
  <c r="AQ192" i="17"/>
  <c r="AO42" i="17"/>
  <c r="AL61" i="17"/>
  <c r="AT138" i="17"/>
  <c r="AO22" i="17"/>
  <c r="AM168" i="17"/>
  <c r="AN109" i="17"/>
  <c r="AM54" i="17"/>
  <c r="AQ136" i="17"/>
  <c r="AL64" i="17"/>
  <c r="AT127" i="17"/>
  <c r="AT183" i="17"/>
  <c r="AN152" i="17"/>
  <c r="AQ131" i="17"/>
  <c r="AL168" i="17"/>
  <c r="AM25" i="17"/>
  <c r="AO120" i="17"/>
  <c r="AQ54" i="17"/>
  <c r="AS53" i="17"/>
  <c r="AR18" i="17"/>
  <c r="AM64" i="17"/>
  <c r="AN17" i="17"/>
  <c r="AQ127" i="17"/>
  <c r="AQ63" i="17"/>
  <c r="AM135" i="17"/>
  <c r="AM63" i="17"/>
  <c r="AN127" i="17"/>
  <c r="AQ135" i="17"/>
  <c r="AS65" i="17"/>
  <c r="AN183" i="17"/>
  <c r="AQ138" i="17"/>
  <c r="AK75" i="17"/>
  <c r="AL170" i="17"/>
  <c r="AT22" i="17"/>
  <c r="AT131" i="17"/>
  <c r="AQ74" i="17"/>
  <c r="AQ162" i="17"/>
  <c r="AS47" i="17"/>
  <c r="AL11" i="17"/>
  <c r="AM156" i="17"/>
  <c r="AS25" i="17"/>
  <c r="AK182" i="17"/>
  <c r="AN101" i="17"/>
  <c r="AQ120" i="17"/>
  <c r="AP50" i="17"/>
  <c r="AL80" i="17"/>
  <c r="AN54" i="17"/>
  <c r="AP91" i="17"/>
  <c r="AO99" i="17"/>
  <c r="AR71" i="17"/>
  <c r="AN53" i="17"/>
  <c r="AN92" i="17"/>
  <c r="AL194" i="17"/>
  <c r="AS18" i="17"/>
  <c r="AT116" i="17"/>
  <c r="AO31" i="17"/>
  <c r="AT169" i="17"/>
  <c r="AN10" i="17"/>
  <c r="AQ64" i="17"/>
  <c r="AN190" i="17"/>
  <c r="AT9" i="17"/>
  <c r="AL56" i="17"/>
  <c r="AK23" i="17"/>
  <c r="AN192" i="17"/>
  <c r="AN81" i="17"/>
  <c r="AN37" i="17"/>
  <c r="AQ17" i="17"/>
  <c r="AT57" i="17"/>
  <c r="AQ158" i="17"/>
  <c r="AK150" i="17"/>
  <c r="AN134" i="17"/>
  <c r="AS12" i="17"/>
  <c r="AL177" i="17"/>
  <c r="AR147" i="17"/>
  <c r="AS100" i="17"/>
  <c r="AS129" i="17"/>
  <c r="AS58" i="17"/>
  <c r="AL155" i="17"/>
  <c r="AM105" i="17"/>
  <c r="AT98" i="17"/>
  <c r="AQ193" i="17"/>
  <c r="AM36" i="17"/>
  <c r="AP191" i="17"/>
  <c r="AN19" i="17"/>
  <c r="AR68" i="17"/>
  <c r="AL187" i="17"/>
  <c r="AP33" i="17"/>
  <c r="AR84" i="17"/>
  <c r="AS124" i="17"/>
  <c r="AT73" i="17"/>
  <c r="AS159" i="17"/>
  <c r="AP172" i="17"/>
  <c r="AR149" i="17"/>
  <c r="AO43" i="17"/>
  <c r="AO82" i="17"/>
  <c r="AS29" i="17"/>
  <c r="AR107" i="17"/>
  <c r="AR123" i="17"/>
  <c r="AQ176" i="17"/>
  <c r="AM42" i="17"/>
  <c r="AK67" i="17"/>
  <c r="AM173" i="17"/>
  <c r="AO145" i="17"/>
  <c r="AK164" i="17"/>
  <c r="AN60" i="17"/>
  <c r="AS175" i="17"/>
  <c r="AS110" i="17"/>
  <c r="AR163" i="17"/>
  <c r="AN66" i="17"/>
  <c r="AO52" i="17"/>
  <c r="AT179" i="17"/>
  <c r="AS119" i="17"/>
  <c r="AL15" i="17"/>
  <c r="AK130" i="17"/>
  <c r="AM141" i="17"/>
  <c r="AT112" i="17"/>
  <c r="AS87" i="17"/>
  <c r="AO93" i="17"/>
  <c r="AS70" i="17"/>
  <c r="AK113" i="17"/>
  <c r="AS178" i="17"/>
  <c r="AM186" i="17"/>
  <c r="M35" i="19" a="1"/>
  <c r="N31" i="19" a="1"/>
  <c r="N46" i="19" a="1"/>
  <c r="N21" i="19" a="1"/>
  <c r="N29" i="19" a="1"/>
  <c r="N20" i="19" a="1"/>
  <c r="N39" i="19" a="1"/>
  <c r="N44" i="19" a="1"/>
  <c r="M12" i="19" a="1"/>
  <c r="N37" i="19" a="1"/>
  <c r="N40" i="19" a="1"/>
  <c r="N19" i="19" a="1"/>
  <c r="N34" i="19" a="1"/>
  <c r="N27" i="19" a="1"/>
  <c r="N43" i="19" a="1"/>
  <c r="N32" i="19" a="1"/>
  <c r="N45" i="19" a="1"/>
  <c r="N25" i="19" a="1"/>
  <c r="N36" i="19" a="1"/>
  <c r="N17" i="19" a="1"/>
  <c r="N30" i="19" a="1"/>
  <c r="N41" i="19" a="1"/>
  <c r="N22" i="19" a="1"/>
  <c r="N24" i="19" a="1"/>
  <c r="N15" i="19" a="1"/>
  <c r="N11" i="19" a="1"/>
  <c r="N16" i="19" a="1"/>
  <c r="N33" i="19" a="1"/>
  <c r="N48" i="19" a="1"/>
  <c r="M14" i="19" a="1"/>
  <c r="N47" i="19" a="1"/>
  <c r="N38" i="19" a="1"/>
  <c r="N42" i="19" a="1"/>
  <c r="N10" i="19" a="1"/>
  <c r="N7" i="19" a="1"/>
  <c r="N23" i="19" a="1"/>
  <c r="N26" i="19" a="1"/>
  <c r="M8" i="19" a="1"/>
  <c r="M18" i="19" a="1"/>
  <c r="N28" i="19" a="1"/>
  <c r="N9" i="19" a="1"/>
  <c r="N13" i="19" a="1"/>
  <c r="N9" i="19" l="1"/>
  <c r="N28" i="19"/>
  <c r="M18" i="19"/>
  <c r="M8" i="19"/>
  <c r="N26" i="19"/>
  <c r="N23" i="19"/>
  <c r="N7" i="19"/>
  <c r="N10" i="19"/>
  <c r="N42" i="19"/>
  <c r="N47" i="19"/>
  <c r="M14" i="19"/>
  <c r="N48" i="19"/>
  <c r="N33" i="19"/>
  <c r="N16" i="19"/>
  <c r="N11" i="19"/>
  <c r="N15" i="19"/>
  <c r="N24" i="19"/>
  <c r="N41" i="19"/>
  <c r="N30" i="19"/>
  <c r="N17" i="19"/>
  <c r="N36" i="19"/>
  <c r="N25" i="19"/>
  <c r="N45" i="19"/>
  <c r="N32" i="19"/>
  <c r="N43" i="19"/>
  <c r="N27" i="19"/>
  <c r="N34" i="19"/>
  <c r="N19" i="19"/>
  <c r="N40" i="19"/>
  <c r="N37" i="19"/>
  <c r="M12" i="19"/>
  <c r="N44" i="19"/>
  <c r="N39" i="19"/>
  <c r="N20" i="19"/>
  <c r="N29" i="19"/>
  <c r="N21" i="19"/>
  <c r="N46" i="19"/>
  <c r="N31" i="19"/>
  <c r="M35" i="19"/>
  <c r="N13" i="19"/>
  <c r="N22" i="19"/>
  <c r="N38" i="19"/>
  <c r="O9" i="19" a="1"/>
  <c r="O24" i="19" a="1"/>
  <c r="O39" i="19" a="1"/>
  <c r="O29" i="19" a="1"/>
  <c r="O43" i="19" a="1"/>
  <c r="O16" i="19" a="1"/>
  <c r="O28" i="19" a="1"/>
  <c r="O41" i="19" a="1"/>
  <c r="O20" i="19" a="1"/>
  <c r="O46" i="19" a="1"/>
  <c r="O48" i="19" a="1"/>
  <c r="N18" i="19" a="1"/>
  <c r="O30" i="19" a="1"/>
  <c r="O34" i="19" a="1"/>
  <c r="N8" i="19" a="1"/>
  <c r="O17" i="19" a="1"/>
  <c r="O21" i="19" a="1"/>
  <c r="O42" i="19" a="1"/>
  <c r="O19" i="19" a="1"/>
  <c r="O26" i="19" a="1"/>
  <c r="O36" i="19" a="1"/>
  <c r="O11" i="19" a="1"/>
  <c r="O23" i="19" a="1"/>
  <c r="O25" i="19" a="1"/>
  <c r="O31" i="19" a="1"/>
  <c r="N14" i="19" a="1"/>
  <c r="O37" i="19" a="1"/>
  <c r="O7" i="19" a="1"/>
  <c r="O45" i="19" a="1"/>
  <c r="N35" i="19" a="1"/>
  <c r="O10" i="19" a="1"/>
  <c r="O27" i="19" a="1"/>
  <c r="O33" i="19" a="1"/>
  <c r="O44" i="19" a="1"/>
  <c r="O32" i="19" a="1"/>
  <c r="O13" i="19" a="1"/>
  <c r="N12" i="19" a="1"/>
  <c r="O47" i="19" a="1"/>
  <c r="O40" i="19" a="1"/>
  <c r="O15" i="19" a="1"/>
  <c r="O22" i="19" a="1"/>
  <c r="O38" i="19" a="1"/>
  <c r="O15" i="19" l="1"/>
  <c r="O40" i="19"/>
  <c r="O47" i="19"/>
  <c r="N12" i="19"/>
  <c r="O32" i="19"/>
  <c r="O44" i="19"/>
  <c r="O33" i="19"/>
  <c r="O27" i="19"/>
  <c r="O10" i="19"/>
  <c r="N35" i="19"/>
  <c r="O45" i="19"/>
  <c r="O7" i="19"/>
  <c r="O37" i="19"/>
  <c r="N14" i="19"/>
  <c r="O31" i="19"/>
  <c r="O25" i="19"/>
  <c r="O23" i="19"/>
  <c r="O11" i="19"/>
  <c r="O36" i="19"/>
  <c r="O26" i="19"/>
  <c r="O19" i="19"/>
  <c r="O42" i="19"/>
  <c r="O21" i="19"/>
  <c r="O17" i="19"/>
  <c r="N8" i="19"/>
  <c r="O34" i="19"/>
  <c r="O30" i="19"/>
  <c r="N18" i="19"/>
  <c r="O48" i="19"/>
  <c r="O46" i="19"/>
  <c r="O20" i="19"/>
  <c r="O41" i="19"/>
  <c r="O28" i="19"/>
  <c r="O16" i="19"/>
  <c r="O43" i="19"/>
  <c r="O29" i="19"/>
  <c r="O39" i="19"/>
  <c r="O24" i="19"/>
  <c r="O9" i="19"/>
  <c r="O22" i="19"/>
  <c r="O38" i="19"/>
  <c r="O13" i="19"/>
  <c r="P15" i="19" a="1"/>
  <c r="P23" i="19" a="1"/>
  <c r="P28" i="19" a="1"/>
  <c r="P43" i="19" a="1"/>
  <c r="P38" i="19" a="1"/>
  <c r="P42" i="19" a="1"/>
  <c r="P10" i="19" a="1"/>
  <c r="O18" i="19" a="1"/>
  <c r="P40" i="19" a="1"/>
  <c r="P11" i="19" a="1"/>
  <c r="P16" i="19" a="1"/>
  <c r="P29" i="19" a="1"/>
  <c r="P44" i="19" a="1"/>
  <c r="O8" i="19" a="1"/>
  <c r="P48" i="19" a="1"/>
  <c r="P47" i="19" a="1"/>
  <c r="P36" i="19" a="1"/>
  <c r="P19" i="19" a="1"/>
  <c r="P33" i="19" a="1"/>
  <c r="P30" i="19" a="1"/>
  <c r="P46" i="19" a="1"/>
  <c r="O12" i="19" a="1"/>
  <c r="P26" i="19" a="1"/>
  <c r="P39" i="19" a="1"/>
  <c r="P21" i="19" a="1"/>
  <c r="O35" i="19" a="1"/>
  <c r="P25" i="19" a="1"/>
  <c r="P32" i="19" a="1"/>
  <c r="P45" i="19" a="1"/>
  <c r="P31" i="19" a="1"/>
  <c r="P24" i="19" a="1"/>
  <c r="P37" i="19" a="1"/>
  <c r="P9" i="19" a="1"/>
  <c r="O14" i="19" a="1"/>
  <c r="P41" i="19" a="1"/>
  <c r="P27" i="19" a="1"/>
  <c r="P17" i="19" a="1"/>
  <c r="P34" i="19" a="1"/>
  <c r="P7" i="19" a="1"/>
  <c r="P20" i="19" a="1"/>
  <c r="P22" i="19" a="1"/>
  <c r="P13" i="19" a="1"/>
  <c r="P20" i="19" l="1"/>
  <c r="E20" i="19" s="1"/>
  <c r="P7" i="19"/>
  <c r="E7" i="19" s="1"/>
  <c r="P34" i="19"/>
  <c r="E34" i="19" s="1"/>
  <c r="P17" i="19"/>
  <c r="E17" i="19" s="1"/>
  <c r="P27" i="19"/>
  <c r="E27" i="19" s="1"/>
  <c r="P41" i="19"/>
  <c r="E41" i="19" s="1"/>
  <c r="O14" i="19"/>
  <c r="P9" i="19"/>
  <c r="E9" i="19" s="1"/>
  <c r="P37" i="19"/>
  <c r="E37" i="19" s="1"/>
  <c r="P24" i="19"/>
  <c r="E24" i="19" s="1"/>
  <c r="P31" i="19"/>
  <c r="E31" i="19" s="1"/>
  <c r="P45" i="19"/>
  <c r="E45" i="19" s="1"/>
  <c r="P32" i="19"/>
  <c r="E32" i="19" s="1"/>
  <c r="P25" i="19"/>
  <c r="E25" i="19" s="1"/>
  <c r="O35" i="19"/>
  <c r="P21" i="19"/>
  <c r="E21" i="19" s="1"/>
  <c r="P39" i="19"/>
  <c r="E39" i="19" s="1"/>
  <c r="P26" i="19"/>
  <c r="E26" i="19" s="1"/>
  <c r="O12" i="19"/>
  <c r="P46" i="19"/>
  <c r="E46" i="19" s="1"/>
  <c r="P30" i="19"/>
  <c r="E30" i="19" s="1"/>
  <c r="P33" i="19"/>
  <c r="E33" i="19" s="1"/>
  <c r="P19" i="19"/>
  <c r="E19" i="19" s="1"/>
  <c r="P36" i="19"/>
  <c r="E36" i="19" s="1"/>
  <c r="P47" i="19"/>
  <c r="E47" i="19" s="1"/>
  <c r="P48" i="19"/>
  <c r="E48" i="19" s="1"/>
  <c r="O8" i="19"/>
  <c r="P44" i="19"/>
  <c r="E44" i="19" s="1"/>
  <c r="P29" i="19"/>
  <c r="E29" i="19" s="1"/>
  <c r="P16" i="19"/>
  <c r="E16" i="19" s="1"/>
  <c r="P11" i="19"/>
  <c r="E11" i="19" s="1"/>
  <c r="P40" i="19"/>
  <c r="E40" i="19" s="1"/>
  <c r="O18" i="19"/>
  <c r="P10" i="19"/>
  <c r="E10" i="19" s="1"/>
  <c r="P42" i="19"/>
  <c r="E42" i="19" s="1"/>
  <c r="P43" i="19"/>
  <c r="E43" i="19" s="1"/>
  <c r="P28" i="19"/>
  <c r="E28" i="19" s="1"/>
  <c r="P23" i="19"/>
  <c r="E23" i="19" s="1"/>
  <c r="P15" i="19"/>
  <c r="E15" i="19" s="1"/>
  <c r="P38" i="19"/>
  <c r="E38" i="19" s="1"/>
  <c r="P22" i="19"/>
  <c r="E22" i="19" s="1"/>
  <c r="P13" i="19"/>
  <c r="E13" i="19" s="1"/>
  <c r="P18" i="19" a="1"/>
  <c r="P8" i="19" a="1"/>
  <c r="P12" i="19" a="1"/>
  <c r="P14" i="19" a="1"/>
  <c r="P35" i="19" a="1"/>
  <c r="P35" i="19" l="1"/>
  <c r="E35" i="19" s="1"/>
  <c r="P14" i="19"/>
  <c r="E14" i="19" s="1"/>
  <c r="P12" i="19"/>
  <c r="E12" i="19" s="1"/>
  <c r="P8" i="19"/>
  <c r="E8" i="19" s="1"/>
  <c r="P18" i="19"/>
  <c r="E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G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Windows User:</t>
        </r>
        <r>
          <rPr>
            <sz val="9"/>
            <color indexed="81"/>
            <rFont val="MS P ゴシック"/>
            <family val="3"/>
            <charset val="128"/>
          </rPr>
          <t xml:space="preserve">
ピボットテーブル範囲をマクロで更新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<sst xmlns="http://schemas.openxmlformats.org/spreadsheetml/2006/main" count="418" uniqueCount="203">
  <si>
    <t>日付</t>
    <rPh sb="0" eb="2">
      <t>ヒヅケ</t>
    </rPh>
    <phoneticPr fontId="1"/>
  </si>
  <si>
    <t>ライン</t>
    <phoneticPr fontId="1"/>
  </si>
  <si>
    <t>人間</t>
    <rPh sb="0" eb="2">
      <t>ニンゲン</t>
    </rPh>
    <phoneticPr fontId="1"/>
  </si>
  <si>
    <t>列ラベル</t>
  </si>
  <si>
    <t>総計</t>
  </si>
  <si>
    <t>行ラベル</t>
  </si>
  <si>
    <t>重複なし順位</t>
    <rPh sb="0" eb="2">
      <t>チョウフク</t>
    </rPh>
    <rPh sb="4" eb="6">
      <t>ジュンイ</t>
    </rPh>
    <phoneticPr fontId="1"/>
  </si>
  <si>
    <t>Rank.EQ</t>
    <phoneticPr fontId="1"/>
  </si>
  <si>
    <t>人員別ツイスト従事回数</t>
    <rPh sb="0" eb="3">
      <t>ジンインベツ</t>
    </rPh>
    <rPh sb="7" eb="9">
      <t>ジュウジ</t>
    </rPh>
    <rPh sb="9" eb="11">
      <t>カイスウ</t>
    </rPh>
    <phoneticPr fontId="1"/>
  </si>
  <si>
    <t>人員別IP従事回数</t>
    <rPh sb="7" eb="9">
      <t>カイスウ</t>
    </rPh>
    <phoneticPr fontId="1"/>
  </si>
  <si>
    <t>人員別茶わんむし従事回数</t>
    <rPh sb="0" eb="3">
      <t>ジンインベツ</t>
    </rPh>
    <rPh sb="3" eb="4">
      <t>チャ</t>
    </rPh>
    <rPh sb="8" eb="10">
      <t>ジュウジ</t>
    </rPh>
    <rPh sb="10" eb="12">
      <t>カイスウ</t>
    </rPh>
    <phoneticPr fontId="1"/>
  </si>
  <si>
    <t>ツイストⅠ</t>
  </si>
  <si>
    <t>御飯</t>
  </si>
  <si>
    <t>ヤジロベー</t>
  </si>
  <si>
    <t>魔人ブウ</t>
  </si>
  <si>
    <t>亀仙人</t>
  </si>
  <si>
    <t>サタン</t>
  </si>
  <si>
    <t>プーアル</t>
  </si>
  <si>
    <t>バビディ</t>
  </si>
  <si>
    <t>1Ｐ</t>
  </si>
  <si>
    <t>ブルマ</t>
  </si>
  <si>
    <t>パン</t>
  </si>
  <si>
    <t>天津飯</t>
  </si>
  <si>
    <t>ベジータ</t>
  </si>
  <si>
    <t>3P</t>
  </si>
  <si>
    <t>デンデ</t>
  </si>
  <si>
    <t>トランクス</t>
  </si>
  <si>
    <t>16号</t>
  </si>
  <si>
    <t>悟天</t>
  </si>
  <si>
    <t>ヤムチャ</t>
  </si>
  <si>
    <t>ランチ</t>
  </si>
  <si>
    <t>ナッパ</t>
  </si>
  <si>
    <t>ツイストⅡ</t>
  </si>
  <si>
    <t>ナム</t>
  </si>
  <si>
    <t>ピラフ</t>
  </si>
  <si>
    <t>ミスターポポ</t>
  </si>
  <si>
    <t>チチ</t>
  </si>
  <si>
    <t>茶Ⅰ</t>
  </si>
  <si>
    <t>18号</t>
  </si>
  <si>
    <t>ピッコロ</t>
  </si>
  <si>
    <t>ブラ</t>
  </si>
  <si>
    <t>茶Ⅱ</t>
  </si>
  <si>
    <t>ラディッツ</t>
  </si>
  <si>
    <t>17号</t>
  </si>
  <si>
    <t>セル</t>
  </si>
  <si>
    <t>offset</t>
    <phoneticPr fontId="1"/>
  </si>
  <si>
    <t>悟空</t>
  </si>
  <si>
    <t>ビーデル</t>
  </si>
  <si>
    <t>餃子</t>
  </si>
  <si>
    <t>牛魔王</t>
  </si>
  <si>
    <t>ブロリー</t>
  </si>
  <si>
    <t>カリン</t>
  </si>
  <si>
    <t>クリリン</t>
  </si>
  <si>
    <t>Records!</t>
    <phoneticPr fontId="1"/>
  </si>
  <si>
    <t>ライン</t>
  </si>
  <si>
    <t>開始行</t>
    <rPh sb="0" eb="3">
      <t>カイシギョウ</t>
    </rPh>
    <phoneticPr fontId="1"/>
  </si>
  <si>
    <t>日付範囲</t>
    <rPh sb="0" eb="4">
      <t>ヒヅケハンイ</t>
    </rPh>
    <phoneticPr fontId="1"/>
  </si>
  <si>
    <t>ライン別人員Range</t>
    <rPh sb="3" eb="4">
      <t>ベツ</t>
    </rPh>
    <rPh sb="4" eb="6">
      <t>ジンイン</t>
    </rPh>
    <phoneticPr fontId="1"/>
  </si>
  <si>
    <t>ソースシート名</t>
    <rPh sb="6" eb="7">
      <t>メイ</t>
    </rPh>
    <phoneticPr fontId="1"/>
  </si>
  <si>
    <t>最大日</t>
    <rPh sb="0" eb="3">
      <t>サイダイビ</t>
    </rPh>
    <phoneticPr fontId="1"/>
  </si>
  <si>
    <t>人員インデックス</t>
    <rPh sb="0" eb="2">
      <t>ジンイン</t>
    </rPh>
    <phoneticPr fontId="1"/>
  </si>
  <si>
    <t>ライン別開始行</t>
    <rPh sb="3" eb="7">
      <t>ベツカイシギョウ</t>
    </rPh>
    <phoneticPr fontId="1"/>
  </si>
  <si>
    <t>ナナチ</t>
  </si>
  <si>
    <t>ラインRange</t>
    <phoneticPr fontId="1"/>
  </si>
  <si>
    <t>ライン名Range</t>
    <rPh sb="3" eb="4">
      <t>メイ</t>
    </rPh>
    <phoneticPr fontId="1"/>
  </si>
  <si>
    <t>名前列Range</t>
    <rPh sb="0" eb="3">
      <t>ナマエレツ</t>
    </rPh>
    <phoneticPr fontId="1"/>
  </si>
  <si>
    <t>総計</t>
    <rPh sb="0" eb="2">
      <t>ソウケイ</t>
    </rPh>
    <phoneticPr fontId="1"/>
  </si>
  <si>
    <t>個数 / 日付</t>
  </si>
  <si>
    <t>ツイスト率DESC</t>
    <rPh sb="4" eb="5">
      <t>リツ</t>
    </rPh>
    <phoneticPr fontId="1"/>
  </si>
  <si>
    <t>(複数のアイテム)</t>
  </si>
  <si>
    <t>茶わんむし</t>
    <phoneticPr fontId="1"/>
  </si>
  <si>
    <t>人員別従事ラインランキング</t>
    <rPh sb="0" eb="3">
      <t>ジンインベツ</t>
    </rPh>
    <rPh sb="3" eb="5">
      <t>ジュウジ</t>
    </rPh>
    <phoneticPr fontId="1"/>
  </si>
  <si>
    <t>Exists</t>
    <phoneticPr fontId="1"/>
  </si>
  <si>
    <t>匿名表</t>
    <rPh sb="0" eb="3">
      <t>トクメイヒョウ</t>
    </rPh>
    <phoneticPr fontId="1"/>
  </si>
  <si>
    <t>キルア</t>
    <phoneticPr fontId="1"/>
  </si>
  <si>
    <t>クラピカ</t>
    <phoneticPr fontId="1"/>
  </si>
  <si>
    <t>ヒソカ</t>
    <phoneticPr fontId="1"/>
  </si>
  <si>
    <t>フェイタン</t>
    <phoneticPr fontId="1"/>
  </si>
  <si>
    <t>クロロ</t>
    <phoneticPr fontId="1"/>
  </si>
  <si>
    <t>ゴン</t>
    <phoneticPr fontId="1"/>
  </si>
  <si>
    <t>カイト</t>
    <phoneticPr fontId="1"/>
  </si>
  <si>
    <t>マチ</t>
    <phoneticPr fontId="1"/>
  </si>
  <si>
    <t>シャルナーク</t>
    <phoneticPr fontId="1"/>
  </si>
  <si>
    <t>アルカ</t>
    <phoneticPr fontId="1"/>
  </si>
  <si>
    <t>イルミ</t>
    <phoneticPr fontId="1"/>
  </si>
  <si>
    <t>レオリオ</t>
    <phoneticPr fontId="1"/>
  </si>
  <si>
    <t>ビスケ</t>
    <phoneticPr fontId="1"/>
  </si>
  <si>
    <t>シズク</t>
    <phoneticPr fontId="1"/>
  </si>
  <si>
    <t>カルト</t>
    <phoneticPr fontId="1"/>
  </si>
  <si>
    <t>ジン</t>
    <phoneticPr fontId="1"/>
  </si>
  <si>
    <t>パクノダ</t>
    <phoneticPr fontId="1"/>
  </si>
  <si>
    <t>ノブナガ</t>
    <phoneticPr fontId="1"/>
  </si>
  <si>
    <t>シルバ</t>
    <phoneticPr fontId="1"/>
  </si>
  <si>
    <t>ウイング</t>
    <phoneticPr fontId="1"/>
  </si>
  <si>
    <t>ミト</t>
    <phoneticPr fontId="1"/>
  </si>
  <si>
    <t>ハンゾー</t>
    <phoneticPr fontId="1"/>
  </si>
  <si>
    <t>センリツ</t>
    <phoneticPr fontId="1"/>
  </si>
  <si>
    <t>ウボォーギン</t>
    <phoneticPr fontId="1"/>
  </si>
  <si>
    <t>ズシ</t>
    <phoneticPr fontId="1"/>
  </si>
  <si>
    <t>コルトピ</t>
    <phoneticPr fontId="1"/>
  </si>
  <si>
    <t>ゴレイヌ</t>
    <phoneticPr fontId="1"/>
  </si>
  <si>
    <t>ポックル</t>
    <phoneticPr fontId="1"/>
  </si>
  <si>
    <t>ニコル</t>
    <phoneticPr fontId="1"/>
  </si>
  <si>
    <t>トンパ</t>
    <phoneticPr fontId="1"/>
  </si>
  <si>
    <t>メンチ</t>
    <phoneticPr fontId="1"/>
  </si>
  <si>
    <t>アイザック</t>
    <phoneticPr fontId="1"/>
  </si>
  <si>
    <t>セドカン</t>
    <phoneticPr fontId="1"/>
  </si>
  <si>
    <t>キリコ</t>
    <phoneticPr fontId="1"/>
  </si>
  <si>
    <t>ネオン</t>
    <phoneticPr fontId="1"/>
  </si>
  <si>
    <t>バショウ</t>
    <phoneticPr fontId="1"/>
  </si>
  <si>
    <t>ヴェーゼ</t>
    <phoneticPr fontId="1"/>
  </si>
  <si>
    <t>イズナビ</t>
    <phoneticPr fontId="1"/>
  </si>
  <si>
    <t>ゲンスルー</t>
    <phoneticPr fontId="1"/>
  </si>
  <si>
    <t>アベンガネ</t>
    <phoneticPr fontId="1"/>
  </si>
  <si>
    <t>フランクリン</t>
    <phoneticPr fontId="1"/>
  </si>
  <si>
    <t>ボレノレフ</t>
    <phoneticPr fontId="1"/>
  </si>
  <si>
    <t>ミルキ</t>
    <phoneticPr fontId="1"/>
  </si>
  <si>
    <t>ルーデウス</t>
    <phoneticPr fontId="1"/>
  </si>
  <si>
    <t>ロキシー</t>
    <phoneticPr fontId="1"/>
  </si>
  <si>
    <t>シルフィエット</t>
    <phoneticPr fontId="1"/>
  </si>
  <si>
    <t>エリス</t>
    <phoneticPr fontId="1"/>
  </si>
  <si>
    <t>パウロ</t>
    <phoneticPr fontId="1"/>
  </si>
  <si>
    <t>ゼニス</t>
    <phoneticPr fontId="1"/>
  </si>
  <si>
    <t>リーリャ</t>
    <phoneticPr fontId="1"/>
  </si>
  <si>
    <t>アイシャ</t>
    <phoneticPr fontId="1"/>
  </si>
  <si>
    <t>ノルン</t>
    <phoneticPr fontId="1"/>
  </si>
  <si>
    <t>ルイジェルド</t>
    <phoneticPr fontId="1"/>
  </si>
  <si>
    <t>ザノバ</t>
    <phoneticPr fontId="1"/>
  </si>
  <si>
    <t>クリフ</t>
    <phoneticPr fontId="1"/>
  </si>
  <si>
    <t>ナナホシ</t>
    <phoneticPr fontId="1"/>
  </si>
  <si>
    <t>オルステッド</t>
    <phoneticPr fontId="1"/>
  </si>
  <si>
    <t>ギレーヌ</t>
    <phoneticPr fontId="1"/>
  </si>
  <si>
    <t>エリナリーゼ</t>
    <phoneticPr fontId="1"/>
  </si>
  <si>
    <t>タルバンド</t>
    <phoneticPr fontId="1"/>
  </si>
  <si>
    <t>ギース</t>
    <phoneticPr fontId="1"/>
  </si>
  <si>
    <t>サウロス</t>
    <phoneticPr fontId="1"/>
  </si>
  <si>
    <t>フィリップ</t>
    <phoneticPr fontId="1"/>
  </si>
  <si>
    <t>トーマス</t>
    <phoneticPr fontId="1"/>
  </si>
  <si>
    <t>エドナ</t>
    <phoneticPr fontId="1"/>
  </si>
  <si>
    <t>レイダ</t>
    <phoneticPr fontId="1"/>
  </si>
  <si>
    <t>イゾルテ</t>
    <phoneticPr fontId="1"/>
  </si>
  <si>
    <t>シャンドル</t>
    <phoneticPr fontId="1"/>
  </si>
  <si>
    <t>ドーガ</t>
    <phoneticPr fontId="1"/>
  </si>
  <si>
    <t>オーベール</t>
    <phoneticPr fontId="1"/>
  </si>
  <si>
    <t>ピレモン</t>
    <phoneticPr fontId="1"/>
  </si>
  <si>
    <t>トリスティーナ</t>
    <phoneticPr fontId="1"/>
  </si>
  <si>
    <t>アリエル</t>
    <phoneticPr fontId="1"/>
  </si>
  <si>
    <t>ルーク</t>
    <phoneticPr fontId="1"/>
  </si>
  <si>
    <t>リニア</t>
    <phoneticPr fontId="1"/>
  </si>
  <si>
    <t>プルセナ</t>
    <phoneticPr fontId="1"/>
  </si>
  <si>
    <t>ジュリ</t>
    <phoneticPr fontId="1"/>
  </si>
  <si>
    <t>ガル</t>
    <phoneticPr fontId="1"/>
  </si>
  <si>
    <t>ニナ</t>
    <phoneticPr fontId="1"/>
  </si>
  <si>
    <t>ジノ</t>
    <phoneticPr fontId="1"/>
  </si>
  <si>
    <t>マルタ</t>
    <phoneticPr fontId="1"/>
  </si>
  <si>
    <t>ランドルフ</t>
    <phoneticPr fontId="1"/>
  </si>
  <si>
    <t>パックス</t>
    <phoneticPr fontId="1"/>
  </si>
  <si>
    <t>ジンジャー</t>
    <phoneticPr fontId="1"/>
  </si>
  <si>
    <t>バーディガーディ</t>
    <phoneticPr fontId="1"/>
  </si>
  <si>
    <t>ロカリー</t>
    <phoneticPr fontId="1"/>
  </si>
  <si>
    <t>ノコパラ</t>
    <phoneticPr fontId="1"/>
  </si>
  <si>
    <t>キシリカ</t>
    <phoneticPr fontId="1"/>
  </si>
  <si>
    <t>ペルギウス</t>
    <phoneticPr fontId="1"/>
  </si>
  <si>
    <t>ルーシー</t>
    <phoneticPr fontId="1"/>
  </si>
  <si>
    <t>ララ</t>
    <phoneticPr fontId="1"/>
  </si>
  <si>
    <t>アルス</t>
    <phoneticPr fontId="1"/>
  </si>
  <si>
    <t>ジークハルト</t>
    <phoneticPr fontId="1"/>
  </si>
  <si>
    <t>リリ</t>
    <phoneticPr fontId="1"/>
  </si>
  <si>
    <t>クリスティーナ</t>
    <phoneticPr fontId="1"/>
  </si>
  <si>
    <t>フェリス</t>
    <phoneticPr fontId="1"/>
  </si>
  <si>
    <t>その他</t>
    <rPh sb="2" eb="3">
      <t>タ</t>
    </rPh>
    <phoneticPr fontId="1"/>
  </si>
  <si>
    <t>グラフ用テーブル</t>
    <rPh sb="3" eb="4">
      <t>ヨウ</t>
    </rPh>
    <phoneticPr fontId="1"/>
  </si>
  <si>
    <t>←取れてないデータの入力お願いします。</t>
    <rPh sb="1" eb="2">
      <t>ト</t>
    </rPh>
    <rPh sb="10" eb="12">
      <t>ニュウリョク</t>
    </rPh>
    <rPh sb="13" eb="14">
      <t>ネガ</t>
    </rPh>
    <phoneticPr fontId="1"/>
  </si>
  <si>
    <t>それ以前のデータの追加についてはご相談ください。</t>
    <rPh sb="17" eb="19">
      <t>ソウダン</t>
    </rPh>
    <phoneticPr fontId="1"/>
  </si>
  <si>
    <t>ルイシェリア</t>
    <phoneticPr fontId="1"/>
  </si>
  <si>
    <t>今日から6日前くらいまでのデータは今入力しておけば明日の巡回で自動回収されると思います。</t>
    <rPh sb="0" eb="2">
      <t>キョウ</t>
    </rPh>
    <rPh sb="5" eb="7">
      <t>ニチマエ</t>
    </rPh>
    <rPh sb="17" eb="18">
      <t>イマ</t>
    </rPh>
    <rPh sb="18" eb="20">
      <t>ニュウリョク</t>
    </rPh>
    <rPh sb="25" eb="27">
      <t>アシタ</t>
    </rPh>
    <rPh sb="28" eb="30">
      <t>ジュンカイ</t>
    </rPh>
    <rPh sb="31" eb="35">
      <t>ジドウカイシュウ</t>
    </rPh>
    <rPh sb="39" eb="40">
      <t>オモ</t>
    </rPh>
    <phoneticPr fontId="1"/>
  </si>
  <si>
    <t>個数 / 人間</t>
  </si>
  <si>
    <t>a</t>
    <phoneticPr fontId="1"/>
  </si>
  <si>
    <t>応援者データの削除お願いします。</t>
    <rPh sb="0" eb="3">
      <t>オウエンシャ</t>
    </rPh>
    <rPh sb="7" eb="9">
      <t>サクジョ</t>
    </rPh>
    <rPh sb="10" eb="11">
      <t>ネガ</t>
    </rPh>
    <phoneticPr fontId="1"/>
  </si>
  <si>
    <t>ばっさーっと消すと表記ゆれ・新しい人・土日アルバイトの人のデータが吹っ飛ぶ可能性があります。</t>
    <rPh sb="6" eb="7">
      <t>ケ</t>
    </rPh>
    <rPh sb="9" eb="11">
      <t>ヒョウキ</t>
    </rPh>
    <rPh sb="14" eb="15">
      <t>アタラ</t>
    </rPh>
    <rPh sb="17" eb="18">
      <t>ヒト</t>
    </rPh>
    <rPh sb="19" eb="21">
      <t>ドニチ</t>
    </rPh>
    <rPh sb="27" eb="28">
      <t>ヒト</t>
    </rPh>
    <rPh sb="33" eb="34">
      <t>フ</t>
    </rPh>
    <rPh sb="35" eb="36">
      <t>ト</t>
    </rPh>
    <rPh sb="37" eb="40">
      <t>カノウセイ</t>
    </rPh>
    <phoneticPr fontId="1"/>
  </si>
  <si>
    <t>操作は慎重に行ってください。</t>
    <rPh sb="0" eb="2">
      <t>ソウサ</t>
    </rPh>
    <rPh sb="3" eb="5">
      <t>シンチョウ</t>
    </rPh>
    <rPh sb="6" eb="7">
      <t>オコナ</t>
    </rPh>
    <phoneticPr fontId="1"/>
  </si>
  <si>
    <t>稀に入力してあるのにデータが収集されないことがありますが仕様です。たぶん明日はうまく行くと思います。</t>
    <rPh sb="0" eb="1">
      <t>マレ</t>
    </rPh>
    <rPh sb="2" eb="4">
      <t>ニュウリョク</t>
    </rPh>
    <rPh sb="14" eb="16">
      <t>シュウシュウ</t>
    </rPh>
    <rPh sb="28" eb="30">
      <t>シヨウ</t>
    </rPh>
    <rPh sb="36" eb="38">
      <t>アシタ</t>
    </rPh>
    <rPh sb="42" eb="43">
      <t>イ</t>
    </rPh>
    <rPh sb="45" eb="46">
      <t>オモ</t>
    </rPh>
    <phoneticPr fontId="1"/>
  </si>
  <si>
    <t>閾値</t>
    <rPh sb="0" eb="2">
      <t>シキイチ</t>
    </rPh>
    <phoneticPr fontId="1"/>
  </si>
  <si>
    <t>出現回数が閾値以下の人員のレコードを抽出するマクロがあります。</t>
    <rPh sb="0" eb="4">
      <t>シュツゲンカイスウ</t>
    </rPh>
    <rPh sb="5" eb="7">
      <t>シキイチ</t>
    </rPh>
    <rPh sb="7" eb="9">
      <t>イカ</t>
    </rPh>
    <rPh sb="10" eb="12">
      <t>ジンイン</t>
    </rPh>
    <rPh sb="18" eb="20">
      <t>チュウシュツ</t>
    </rPh>
    <phoneticPr fontId="1"/>
  </si>
  <si>
    <t>1Ｐ</t>
    <phoneticPr fontId="1"/>
  </si>
  <si>
    <t>日毎の人員構成・人員別日毎の従事ライン!</t>
    <phoneticPr fontId="1"/>
  </si>
  <si>
    <t>名前行範囲</t>
    <rPh sb="0" eb="5">
      <t>ナマエギョウハンイ</t>
    </rPh>
    <phoneticPr fontId="1"/>
  </si>
  <si>
    <t>名前列row</t>
    <rPh sb="0" eb="3">
      <t>ナマエレツ</t>
    </rPh>
    <phoneticPr fontId="1"/>
  </si>
  <si>
    <t>名前列col</t>
    <rPh sb="0" eb="3">
      <t>ナマエレツ</t>
    </rPh>
    <phoneticPr fontId="1"/>
  </si>
  <si>
    <t>回目</t>
    <rPh sb="0" eb="2">
      <t>カイメ</t>
    </rPh>
    <phoneticPr fontId="1"/>
  </si>
  <si>
    <t>連続</t>
    <rPh sb="0" eb="2">
      <t>レンゾク</t>
    </rPh>
    <phoneticPr fontId="1"/>
  </si>
  <si>
    <t>ｎ日ぶり</t>
    <rPh sb="1" eb="2">
      <t>ニチ</t>
    </rPh>
    <phoneticPr fontId="1"/>
  </si>
  <si>
    <t>翌日からケツまで</t>
    <rPh sb="0" eb="2">
      <t>ヨクジツ</t>
    </rPh>
    <phoneticPr fontId="1"/>
  </si>
  <si>
    <t>名前match</t>
    <rPh sb="0" eb="2">
      <t>ナマエ</t>
    </rPh>
    <phoneticPr fontId="1"/>
  </si>
  <si>
    <t>検査日</t>
    <rPh sb="0" eb="3">
      <t>ケンサニチ</t>
    </rPh>
    <phoneticPr fontId="1"/>
  </si>
  <si>
    <t>任意の日付</t>
    <rPh sb="0" eb="2">
      <t>ニンイ</t>
    </rPh>
    <rPh sb="3" eb="5">
      <t>ヒヅケ</t>
    </rPh>
    <phoneticPr fontId="1"/>
  </si>
  <si>
    <t>オフセット</t>
    <phoneticPr fontId="1"/>
  </si>
  <si>
    <t>230407バイナリ差し替えがうまくいってなかったのを修正</t>
    <rPh sb="10" eb="11">
      <t>サ</t>
    </rPh>
    <rPh sb="12" eb="13">
      <t>カ</t>
    </rPh>
    <rPh sb="27" eb="29">
      <t>シュウセイ</t>
    </rPh>
    <phoneticPr fontId="1"/>
  </si>
  <si>
    <t>230407ReplaceTableのレコードAdd条件修正版に差し替え</t>
    <rPh sb="26" eb="28">
      <t>ジョウケン</t>
    </rPh>
    <rPh sb="28" eb="30">
      <t>シュウセイ</t>
    </rPh>
    <rPh sb="30" eb="31">
      <t>バン</t>
    </rPh>
    <rPh sb="32" eb="33">
      <t>サ</t>
    </rPh>
    <rPh sb="34" eb="35">
      <t>カ</t>
    </rPh>
    <phoneticPr fontId="1"/>
  </si>
  <si>
    <t>221222 replaceTableアンコメント</t>
  </si>
  <si>
    <t>230413ライン構成と人員別統計情報追加</t>
    <rPh sb="9" eb="11">
      <t>コウセイ</t>
    </rPh>
    <rPh sb="12" eb="14">
      <t>ジンイン</t>
    </rPh>
    <rPh sb="14" eb="15">
      <t>ベツ</t>
    </rPh>
    <rPh sb="15" eb="17">
      <t>トウケイ</t>
    </rPh>
    <rPh sb="17" eb="19">
      <t>ジョウホウ</t>
    </rPh>
    <rPh sb="19" eb="21">
      <t>ツイカ</t>
    </rPh>
    <phoneticPr fontId="1"/>
  </si>
  <si>
    <t>$AW$6:$AW$65</t>
    <phoneticPr fontId="1"/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</si>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</sst>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0_ "/>
    <numFmt numFmtId="177" formatCode="0.0%"/>
    <numFmt numFmtId="178" formatCode="0_);[Red]\(0\)"/>
    <numFmt numFmtId="179" formatCode="m&quot;月&quot;d&quot;日&quot;;@"/>
    <numFmt numFmtId="180" formatCode="m/d/yyyy"/>
  </numFmts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8"/>
      <color theme="1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rgb="FF000000"/>
      <name val="Yu Gothic"/>
      <family val="3"/>
      <charset val="128"/>
    </font>
    <font>
      <sz val="11"/>
      <color rgb="FFFF0000"/>
      <name val="Yu Gothic"/>
      <family val="2"/>
      <scheme val="minor"/>
    </font>
    <font>
      <sz val="11"/>
      <color theme="1"/>
      <name val="ＭＳ 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/>
  </cellStyleXfs>
  <cellXfs count="3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178" fontId="0" fillId="0" borderId="0" xfId="0" applyNumberFormat="1"/>
    <xf numFmtId="0" fontId="0" fillId="0" borderId="0" xfId="0" applyAlignment="1">
      <alignment vertical="center"/>
    </xf>
    <xf numFmtId="0" fontId="5" fillId="0" borderId="0" xfId="0" applyFont="1"/>
    <xf numFmtId="14" fontId="0" fillId="0" borderId="0" xfId="0" quotePrefix="1" applyNumberFormat="1"/>
    <xf numFmtId="14" fontId="4" fillId="0" borderId="1" xfId="0" applyNumberFormat="1" applyFont="1" applyBorder="1"/>
    <xf numFmtId="0" fontId="4" fillId="0" borderId="1" xfId="0" applyFont="1" applyBorder="1"/>
    <xf numFmtId="0" fontId="0" fillId="0" borderId="1" xfId="0" applyBorder="1"/>
    <xf numFmtId="0" fontId="0" fillId="0" borderId="2" xfId="0" applyBorder="1"/>
    <xf numFmtId="176" fontId="0" fillId="0" borderId="0" xfId="0" applyNumberFormat="1"/>
    <xf numFmtId="0" fontId="3" fillId="0" borderId="0" xfId="0" applyFont="1"/>
    <xf numFmtId="176" fontId="0" fillId="0" borderId="2" xfId="0" applyNumberFormat="1" applyBorder="1"/>
    <xf numFmtId="177" fontId="0" fillId="0" borderId="2" xfId="1" applyNumberFormat="1" applyFont="1" applyFill="1" applyBorder="1" applyAlignment="1"/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center"/>
    </xf>
    <xf numFmtId="179" fontId="0" fillId="0" borderId="4" xfId="0" applyNumberFormat="1" applyBorder="1"/>
    <xf numFmtId="0" fontId="0" fillId="0" borderId="5" xfId="0" applyBorder="1"/>
    <xf numFmtId="14" fontId="5" fillId="0" borderId="0" xfId="0" applyNumberFormat="1" applyFont="1"/>
    <xf numFmtId="0" fontId="4" fillId="0" borderId="0" xfId="0" applyFont="1"/>
    <xf numFmtId="0" fontId="6" fillId="0" borderId="0" xfId="2"/>
    <xf numFmtId="0" fontId="0" fillId="0" borderId="0" xfId="0" applyAlignment="1">
      <alignment horizontal="left"/>
    </xf>
    <xf numFmtId="0" fontId="0" fillId="0" borderId="0" xfId="0" quotePrefix="1"/>
    <xf numFmtId="0" fontId="8" fillId="0" borderId="0" xfId="0" applyFont="1"/>
    <xf numFmtId="0" fontId="9" fillId="0" borderId="0" xfId="0" applyFont="1" applyAlignment="1">
      <alignment vertical="center"/>
    </xf>
    <xf numFmtId="180" fontId="9" fillId="0" borderId="0" xfId="0" applyNumberFormat="1" applyFont="1" applyAlignment="1">
      <alignment vertical="center"/>
    </xf>
    <xf numFmtId="0" fontId="9" fillId="0" borderId="0" xfId="0" applyFont="1"/>
    <xf numFmtId="0" fontId="3" fillId="0" borderId="0" xfId="0" applyFont="1" applyAlignment="1">
      <alignment vertical="center"/>
    </xf>
    <xf numFmtId="0" fontId="0" fillId="2" borderId="6" xfId="0" applyFill="1" applyBorder="1"/>
    <xf numFmtId="14" fontId="0" fillId="2" borderId="6" xfId="0" applyNumberFormat="1" applyFill="1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3" fillId="0" borderId="0" xfId="0" applyFont="1" applyAlignment="1">
      <alignment horizontal="left"/>
    </xf>
  </cellXfs>
  <cellStyles count="3">
    <cellStyle name="パーセント" xfId="1" builtinId="5"/>
    <cellStyle name="ハイパーリンク" xfId="2" builtinId="8"/>
    <cellStyle name="標準" xfId="0" builtinId="0"/>
  </cellStyles>
  <dxfs count="10">
    <dxf>
      <border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  <vertical style="thin">
          <color theme="4" tint="0.39997558519241921"/>
        </vertical>
        <horizontal style="thin">
          <color theme="4" tint="0.39997558519241921"/>
        </horizontal>
      </border>
    </dxf>
    <dxf>
      <border>
        <left/>
        <right/>
        <top/>
        <bottom/>
      </border>
    </dxf>
    <dxf>
      <font>
        <b val="0"/>
        <i val="0"/>
        <color theme="0" tint="-0.24994659260841701"/>
      </font>
    </dxf>
    <dxf>
      <font>
        <b/>
        <i val="0"/>
      </font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180" formatCode="m/d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ピボットテーブル スタイル 1" table="0" count="2" xr9:uid="{00000000-0011-0000-FFFF-FFFF00000000}">
      <tableStyleElement type="wholeTable" dxfId="9"/>
      <tableStyleElement type="pageFieldLabels" dxfId="8"/>
    </tableStyle>
  </tableStyles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[Default.xlsm]ツイスト率テーブル!ピボットテーブル5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ツイスト率テーブル!$B$3:$B$4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ツイスト率テーブル!$A$5:$A$6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ツイスト率テーブル!$B$5:$B$6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1-410D-841C-85E9D1074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17634824"/>
        <c:axId val="117631688"/>
      </c:barChart>
      <c:catAx>
        <c:axId val="1176348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1688"/>
        <c:crosses val="autoZero"/>
        <c:auto val="1"/>
        <c:lblAlgn val="ctr"/>
        <c:lblOffset val="100"/>
        <c:noMultiLvlLbl val="0"/>
      </c:catAx>
      <c:valAx>
        <c:axId val="117631688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4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[Default.xlsm]IP率テーブル!ピボットテーブル6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IP率テーブル!$B$3:$B$4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IP率テーブル!$A$5:$A$6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IP率テーブル!$B$5:$B$6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B4B-4E13-9F86-A289EAE4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5144"/>
        <c:axId val="370098672"/>
      </c:barChart>
      <c:catAx>
        <c:axId val="37009514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8672"/>
        <c:crosses val="autoZero"/>
        <c:auto val="1"/>
        <c:lblAlgn val="ctr"/>
        <c:lblOffset val="100"/>
        <c:noMultiLvlLbl val="0"/>
      </c:catAx>
      <c:valAx>
        <c:axId val="370098672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5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茶わん蒸し率テーブル!$U$3</c:f>
              <c:strCache>
                <c:ptCount val="1"/>
                <c:pt idx="0">
                  <c:v>茶わんむし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茶わん蒸し率テーブル!茶わんむし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82-40AB-A65A-27B79C2D6669}"/>
            </c:ext>
          </c:extLst>
        </c:ser>
        <c:ser>
          <c:idx val="1"/>
          <c:order val="1"/>
          <c:tx>
            <c:strRef>
              <c:f>茶わん蒸し率テーブル!$V$3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茶わん蒸し率テーブル!ツイストⅠ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82-40AB-A65A-27B79C2D6669}"/>
            </c:ext>
          </c:extLst>
        </c:ser>
        <c:ser>
          <c:idx val="2"/>
          <c:order val="2"/>
          <c:tx>
            <c:strRef>
              <c:f>茶わん蒸し率テーブル!$W$3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茶わん蒸し率テーブル!わんＰ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82-40AB-A65A-27B79C2D6669}"/>
            </c:ext>
          </c:extLst>
        </c:ser>
        <c:ser>
          <c:idx val="3"/>
          <c:order val="3"/>
          <c:tx>
            <c:strRef>
              <c:f>茶わん蒸し率テーブル!$X$3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茶わん蒸し率テーブル!さんP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82-40AB-A65A-27B79C2D6669}"/>
            </c:ext>
          </c:extLst>
        </c:ser>
        <c:ser>
          <c:idx val="4"/>
          <c:order val="4"/>
          <c:tx>
            <c:strRef>
              <c:f>茶わん蒸し率テーブル!$Y$3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茶わん蒸し率テーブル!ツイストⅡ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82-40AB-A65A-27B79C2D6669}"/>
            </c:ext>
          </c:extLst>
        </c:ser>
        <c:ser>
          <c:idx val="5"/>
          <c:order val="5"/>
          <c:tx>
            <c:strRef>
              <c:f>茶わん蒸し率テーブル!$Z$3</c:f>
              <c:strCache>
                <c:ptCount val="1"/>
                <c:pt idx="0">
                  <c:v>その他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茶わん蒸し率テーブル!その他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82-40AB-A65A-27B79C2D6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7104"/>
        <c:axId val="370099064"/>
      </c:barChart>
      <c:catAx>
        <c:axId val="3700971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9064"/>
        <c:crosses val="autoZero"/>
        <c:auto val="1"/>
        <c:lblAlgn val="ctr"/>
        <c:lblOffset val="100"/>
        <c:noMultiLvlLbl val="0"/>
      </c:catAx>
      <c:valAx>
        <c:axId val="370099064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&#29983;&#29987;&#25351;&#31034;/&#31532;&#65297;&#22806;&#35013;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104775</xdr:rowOff>
    </xdr:from>
    <xdr:to>
      <xdr:col>7</xdr:col>
      <xdr:colOff>247650</xdr:colOff>
      <xdr:row>2</xdr:row>
      <xdr:rowOff>47625</xdr:rowOff>
    </xdr:to>
    <xdr:sp macro="[0]!PrintPrev" textlink="">
      <xdr:nvSpPr>
        <xdr:cNvPr id="16" name="四角形: 角を丸くする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36232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いい感じに印刷</a:t>
          </a:r>
        </a:p>
      </xdr:txBody>
    </xdr:sp>
    <xdr:clientData/>
  </xdr:twoCellAnchor>
  <xdr:twoCellAnchor>
    <xdr:from>
      <xdr:col>7</xdr:col>
      <xdr:colOff>542926</xdr:colOff>
      <xdr:row>0</xdr:row>
      <xdr:rowOff>104775</xdr:rowOff>
    </xdr:from>
    <xdr:to>
      <xdr:col>11</xdr:col>
      <xdr:colOff>9526</xdr:colOff>
      <xdr:row>2</xdr:row>
      <xdr:rowOff>47625</xdr:rowOff>
    </xdr:to>
    <xdr:sp macro="" textlink="">
      <xdr:nvSpPr>
        <xdr:cNvPr id="17" name="四角形: 角を丸くする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5762626" y="104775"/>
          <a:ext cx="2238375" cy="4191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生産指示フォルダを表示</a:t>
          </a:r>
        </a:p>
      </xdr:txBody>
    </xdr:sp>
    <xdr:clientData/>
  </xdr:twoCellAnchor>
  <xdr:twoCellAnchor>
    <xdr:from>
      <xdr:col>11</xdr:col>
      <xdr:colOff>342900</xdr:colOff>
      <xdr:row>0</xdr:row>
      <xdr:rowOff>104775</xdr:rowOff>
    </xdr:from>
    <xdr:to>
      <xdr:col>14</xdr:col>
      <xdr:colOff>390525</xdr:colOff>
      <xdr:row>2</xdr:row>
      <xdr:rowOff>47625</xdr:rowOff>
    </xdr:to>
    <xdr:sp macro="[0]!ExtractIreglarNames" textlink="">
      <xdr:nvSpPr>
        <xdr:cNvPr id="29" name="四角形: 角を丸くする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833437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応援者っぽい行を抽出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828675</xdr:colOff>
      <xdr:row>2</xdr:row>
      <xdr:rowOff>47625</xdr:rowOff>
    </xdr:from>
    <xdr:to>
      <xdr:col>41</xdr:col>
      <xdr:colOff>371475</xdr:colOff>
      <xdr:row>4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2221825" y="523875"/>
          <a:ext cx="4829175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日毎の人員構成</a:t>
          </a:r>
        </a:p>
      </xdr:txBody>
    </xdr:sp>
    <xdr:clientData/>
  </xdr:twoCellAnchor>
  <xdr:twoCellAnchor>
    <xdr:from>
      <xdr:col>48</xdr:col>
      <xdr:colOff>0</xdr:colOff>
      <xdr:row>2</xdr:row>
      <xdr:rowOff>47625</xdr:rowOff>
    </xdr:from>
    <xdr:to>
      <xdr:col>53</xdr:col>
      <xdr:colOff>266700</xdr:colOff>
      <xdr:row>4</xdr:row>
      <xdr:rowOff>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2242125" y="523875"/>
          <a:ext cx="4724400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人員別日毎の従事ライン</a:t>
          </a:r>
          <a:endParaRPr kumimoji="1" lang="en-US" altLang="ja-JP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</xdr:row>
          <xdr:rowOff>0</xdr:rowOff>
        </xdr:from>
        <xdr:to>
          <xdr:col>6</xdr:col>
          <xdr:colOff>704850</xdr:colOff>
          <xdr:row>3</xdr:row>
          <xdr:rowOff>19050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3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238124</xdr:rowOff>
    </xdr:from>
    <xdr:to>
      <xdr:col>24</xdr:col>
      <xdr:colOff>238124</xdr:colOff>
      <xdr:row>40</xdr:row>
      <xdr:rowOff>209549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28575</xdr:colOff>
      <xdr:row>3</xdr:row>
      <xdr:rowOff>238124</xdr:rowOff>
    </xdr:from>
    <xdr:to>
      <xdr:col>50</xdr:col>
      <xdr:colOff>228599</xdr:colOff>
      <xdr:row>41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51</xdr:col>
      <xdr:colOff>63500</xdr:colOff>
      <xdr:row>3</xdr:row>
      <xdr:rowOff>238124</xdr:rowOff>
    </xdr:from>
    <xdr:to>
      <xdr:col>75</xdr:col>
      <xdr:colOff>254000</xdr:colOff>
      <xdr:row>41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0</xdr:row>
          <xdr:rowOff>114300</xdr:rowOff>
        </xdr:from>
        <xdr:to>
          <xdr:col>53</xdr:col>
          <xdr:colOff>200025</xdr:colOff>
          <xdr:row>1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u" refreshedDate="45292.57045162037" createdVersion="8" refreshedVersion="8" minRefreshableVersion="3" recordCount="791" xr:uid="{00000000-000A-0000-FFFF-FFFF04000000}">
  <cacheSource type="worksheet">
    <worksheetSource name="テーブル1"/>
  </cacheSource>
  <cacheFields count="3">
    <cacheField name="日付" numFmtId="180">
      <sharedItems containsNonDate="0" containsString="0" containsBlank="1"/>
    </cacheField>
    <cacheField name="ライン" numFmtId="0">
      <sharedItems containsNonDate="0" containsBlank="1" count="22">
        <m/>
        <s v="1Ｐ" u="1"/>
        <s v="3P" u="1"/>
        <s v="ツイストⅠ" u="1"/>
        <s v="ツイストⅡ" u="1"/>
        <s v="茶Ⅰ" u="1"/>
        <s v="茶Ⅱ" u="1"/>
        <s v="茶Ⅲ" u="1"/>
        <s v="3Ｐ" u="1"/>
        <s v="レトルト" u="1"/>
        <s v="中華" u="1"/>
        <s v="惣菜" u="1"/>
        <s v="製造" u="1"/>
        <s v="ツイスト2" u="1"/>
        <s v="a" u="1"/>
        <s v="茶3" u="1"/>
        <s v="ツイスト1" u="1"/>
        <s v="グラタン" u="1"/>
        <s v="第二外装" u="1"/>
        <s v="総菜" u="1"/>
        <s v="第三" u="1"/>
        <s v="ツⅡ" u="1"/>
      </sharedItems>
    </cacheField>
    <cacheField name="人間" numFmtId="0">
      <sharedItems containsNonDate="0" containsDate="1" containsBlank="1" containsMixedTypes="1" minDate="1899-12-31T00:00:00" maxDate="2023-11-13T00:00:00" count="290">
        <m/>
        <s v="前田" u="1"/>
        <s v="栗波" u="1"/>
        <s v="辻本" u="1"/>
        <s v="ヴァン" u="1"/>
        <s v="李" u="1"/>
        <s v="櫻谷" u="1"/>
        <s v="内山" u="1"/>
        <s v="山崎" u="1"/>
        <s v="小原美" u="1"/>
        <s v="山田" u="1"/>
        <s v="丸岡" u="1"/>
        <s v="木下" u="1"/>
        <s v="田中" u="1"/>
        <s v="小坂" u="1"/>
        <s v="川端" u="1"/>
        <s v="牛上" u="1"/>
        <s v="ラン" u="1"/>
        <s v="チャム" u="1"/>
        <s v="橋本て" u="1"/>
        <s v="ガン" u="1"/>
        <s v="楠木" u="1"/>
        <s v="河崎" u="1"/>
        <s v="中川" u="1"/>
        <s v="野尻" u="1"/>
        <s v="ヌオン" u="1"/>
        <s v="上野" u="1"/>
        <s v="リン" u="1"/>
        <s v="島田" u="1"/>
        <s v="牧野" u="1"/>
        <s v="橋本あ" u="1"/>
        <s v="立石" u="1"/>
        <s v="吉村" u="1"/>
        <s v="吉田" u="1"/>
        <s v="稲垣" u="1"/>
        <s v="三田村" u="1"/>
        <s v="山本二" u="1"/>
        <s v="内藤" u="1"/>
        <s v="五十嵐" u="1"/>
        <s v="ズイ" u="1"/>
        <s v="尾形" u="1"/>
        <s v="チ" u="1"/>
        <s v="クイン" u="1"/>
        <s v="矢口" u="1"/>
        <s v="リズキ" u="1"/>
        <s v="クオン" u="1"/>
        <s v="小泉" u="1"/>
        <s v="山本妹" u="1"/>
        <s v="フオン" u="1"/>
        <s v="ティン" u="1"/>
        <s v="長谷川" u="1"/>
        <s v="バオ" u="1"/>
        <s v="吉田か" u="1"/>
        <s v="笹川" u="1"/>
        <s v="清水" u="1"/>
        <s v="谷口" u="1"/>
        <s v="宇野" u="1"/>
        <s v="ハ" u="1"/>
        <s v="平岡" u="1"/>
        <s v="山本" u="1"/>
        <s v="水野" u="1"/>
        <s v="吉谷" u="1"/>
        <s v="細川" u="1"/>
        <s v="青木" u="1"/>
        <s v="井藤" u="1"/>
        <s v="多田" u="1"/>
        <s v="廣部" u="1"/>
        <s v="中橋" u="1"/>
        <s v="　" u="1"/>
        <s v="下中" u="1"/>
        <s v="田中智" u="1"/>
        <s v="小原悦" u="1"/>
        <s v="中田・中島" u="1"/>
        <s v="玉だし" u="1"/>
        <s v="薮下" u="1"/>
        <s v="黒木" u="1"/>
        <s v="吉田カ" u="1"/>
        <s v="↑" u="1"/>
        <s v="テャム" u="1"/>
        <s v="宮嶋" u="1"/>
        <n v="0" u="1"/>
        <s v="矢口、石山" u="1"/>
        <s v="箱準備" u="1"/>
        <s v="ビーデル" u="1"/>
        <s v="木村" u="1"/>
        <s v="ブルマ" u="1"/>
        <s v="中島・山本こ" u="1"/>
        <s v="ベラフ" u="1"/>
        <s v="パン" u="1"/>
        <s v="千葉" u="1"/>
        <s v="惣菜" u="1"/>
        <s v="馬場、谷本" u="1"/>
        <s v="小原え" u="1"/>
        <s v="仲北" u="1"/>
        <s v="矢口。井藤" u="1"/>
        <s v="宮地" u="1"/>
        <s v="ナッパ" u="1"/>
        <s v="今村" u="1"/>
        <s v="軍場" u="1"/>
        <s v="増田" u="1"/>
        <s v="製造" u="1"/>
        <s v="堀川" u="1"/>
        <s v="林・石山" u="1"/>
        <s v="伊藤（課）" u="1"/>
        <s v="亀仙人" u="1"/>
        <s v="ヤジロベー" u="1"/>
        <s v="ブラ" u="1"/>
        <s v="バビディ" u="1"/>
        <s v="小原ゆ" u="1"/>
        <s v="西教" u="1"/>
        <s v="吉田里" u="1"/>
        <s v="ズイ」" u="1"/>
        <s v="ミン" u="1"/>
        <s v="橋本哲" u="1"/>
        <s v="吉村・水越" u="1"/>
        <s v="坪谷・堀" u="1"/>
        <s v="牛魔王" u="1"/>
        <s v="山本、森川" u="1"/>
        <s v="苅安" u="1"/>
        <s v="内田" u="1"/>
        <s v="W" u="1"/>
        <s v="中島・舛野・内筒" u="1"/>
        <s v="ホア" u="1"/>
        <s v="熊野" u="1"/>
        <s v="谷口二" u="1"/>
        <s v="中島、下仲" u="1"/>
        <s v="魔人ブウ" u="1"/>
        <s v="内藤、橋本" u="1"/>
        <s v="土谷、中井" u="1"/>
        <s v="リ" u="1"/>
        <s v="近藤" u="1"/>
        <s v="トゥアン" u="1"/>
        <s v="中島、福井" u="1"/>
        <s v="御飯" u="1"/>
        <s v="山内" u="1"/>
        <s v="ファプタ" u="1"/>
        <s v="レグ" u="1"/>
        <s v="山口" u="1"/>
        <s v="オアイン" u="1"/>
        <s v="ヌオン」" u="1"/>
        <s v="林" u="1"/>
        <s v="フォン" u="1"/>
        <s v="ワズキャン" u="1"/>
        <s v="畠中" u="1"/>
        <s v="ボンドルド" u="1"/>
        <s v="土谷・石山" u="1"/>
        <s v="パッコヤン" u="1"/>
        <s v="甚佐" u="1"/>
        <s v="宮本、堀" u="1"/>
        <s v="デンデ" u="1"/>
        <s v="福井、下仲" u="1"/>
        <s v="小柳、高橋、堀" u="1"/>
        <s v="中澤・嶋野" u="1"/>
        <s v="ズン" u="1"/>
        <s v="中村" u="1"/>
        <s v="フィ" u="1"/>
        <s v="土井ジュ" u="1"/>
        <s v="イー" u="1"/>
        <s v="小嶋" u="1"/>
        <s v="ブロリー" u="1"/>
        <s v="宮地、大西" u="1"/>
        <s v="森川・福井" u="1"/>
        <s v="橋本涼" u="1"/>
        <d v="2023-11-12T00:00:00" u="1"/>
        <s v="テイン" u="1"/>
        <s v="井藤、土谷" u="1"/>
        <s v="サタン" u="1"/>
        <s v="石山、あおき" u="1"/>
        <s v="ガー" u="1"/>
        <s v="萩本" u="1"/>
        <s v="16号" u="1"/>
        <s v="悟天" u="1"/>
        <s v="アジャポカ" u="1"/>
        <s v="陳" u="1"/>
        <s v="武智" u="1"/>
        <s v="ヤムチャ" u="1"/>
        <s v="高棹、橋本" u="1"/>
        <s v="ピラフ" u="1"/>
        <s v="林・金子" u="1"/>
        <s v="木下、あおき" u="1"/>
        <s v="宮本・金子" u="1"/>
        <s v="伊藤課" u="1"/>
        <s v="宗野" u="1"/>
        <s v="氷坂" u="1"/>
        <s v="篠原、林" u="1"/>
        <s v="當山" u="1"/>
        <s v="ピッコロ" u="1"/>
        <s v="下仲・中橋" u="1"/>
        <s v="柳瀬" u="1"/>
        <s v="小柳・高橋・堀" u="1"/>
        <s v="中田、中島" u="1"/>
        <s v="柳瀨" u="1"/>
        <s v="オゴスク" u="1"/>
        <s v="三好" u="1"/>
        <s v="小柳・高橋・石山" u="1"/>
        <s v="小川" u="1"/>
        <s v="ミスターポポ" u="1"/>
        <s v="橋本" u="1"/>
        <s v="山本あ" u="1"/>
        <s v="オグスク" u="1"/>
        <s v="樫本あ" u="1"/>
        <s v="クリリン" u="1"/>
        <s v="トランクス" u="1"/>
        <s v="ランチ" u="1"/>
        <s v="上野黒木" u="1"/>
        <s v="湧口" u="1"/>
        <s v="チチ" u="1"/>
        <s v="山本に" u="1"/>
        <s v="ジュセリノ" u="1"/>
        <s v="林、石山" u="1"/>
        <s v="山本ふ" u="1"/>
        <s v="中島・坪谷" u="1"/>
        <s v="フイ" u="1"/>
        <s v="山本ま" u="1"/>
        <s v="早出" u="1"/>
        <s v="第二外装" u="1"/>
        <s v="水の" u="1"/>
        <s v="上坂" u="1"/>
        <s v="八木" u="1"/>
        <s v="イルミューイ" u="1"/>
        <s v="大西" u="1"/>
        <s v="大舘" u="1"/>
        <s v="ホソカワ" u="1"/>
        <s v="茶Ⅲ" u="1"/>
        <s v="ピッコロ大魔王" u="1"/>
        <s v="天津飯" u="1"/>
        <s v="澤崎" u="1"/>
        <s v="川瀬" u="1"/>
        <s v="ラディッツ" u="1"/>
        <s v="ハギモト" u="1"/>
        <s v="トゥン" u="1"/>
        <s v="17号" u="1"/>
        <s v="森田" u="1"/>
        <s v="ガウメ" u="1"/>
        <s v="山本マ" u="1"/>
        <s v="シュウ" u="1"/>
        <s v="福澤" u="1"/>
        <s v="中山" u="1"/>
        <s v="高橋・篠原" u="1"/>
        <s v="ガ" u="1"/>
        <s v="井出" u="1"/>
        <s v="谷口耕" u="1"/>
        <s v="ナナチ" u="1"/>
        <s v="沢崎" u="1"/>
        <s v="藤田、谷本" u="1"/>
        <s v="山本恒" u="1"/>
        <s v="玉" u="1"/>
        <s v="小原" u="1"/>
        <s v="朝倉" u="1"/>
        <s v="張" u="1"/>
        <s v="ナム" u="1"/>
        <s v="ニューイー" u="1"/>
        <s v="西野" u="1"/>
        <s v="シュー" u="1"/>
        <s v="レトルト" u="1"/>
        <s v="箱" u="1"/>
        <s v="悟空" u="1"/>
        <s v="大浦" u="1"/>
        <s v="第三" u="1"/>
        <s v="土井" u="1"/>
        <s v="坪内" u="1"/>
        <s v="内藤、" u="1"/>
        <s v="中島・内藤" u="1"/>
        <s v="北尾" u="1"/>
        <s v="井上" u="1"/>
        <s v="向" u="1"/>
        <s v="篠原" u="1"/>
        <s v="須藤" u="1"/>
        <s v="セル" u="1"/>
        <s v="中華" u="1"/>
        <s v="橋本り" u="1"/>
        <s v="坪谷" u="1"/>
        <s v="餃子" u="1"/>
        <s v="石山" u="1"/>
        <s v="内藤・堀" u="1"/>
        <s v="李付き" u="1"/>
        <s v="坪川" u="1"/>
        <s v="タオ" u="1"/>
        <s v="カリン" u="1"/>
        <s v="ツイストⅡ" u="1"/>
        <s v="玉準備" u="1"/>
        <s v="前田か" u="1"/>
        <s v="18号" u="1"/>
        <s v="粟生木" u="1"/>
        <s v="ベジータ" u="1"/>
        <s v="矢口、大舘" u="1"/>
        <s v="リコ" u="1"/>
        <s v="森田し" u="1"/>
        <s v="プーアル" u="1"/>
        <s v="ヴエロエルコ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1"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B5" firstHeaderRow="1" firstDataRow="1" firstDataCol="1"/>
  <pivotFields count="3">
    <pivotField numFmtId="14" showAll="0"/>
    <pivotField showAll="0"/>
    <pivotField axis="axisRow" dataField="1" showAll="0" sortType="ascending">
      <items count="291">
        <item m="1" x="170"/>
        <item m="1" x="231"/>
        <item m="1" x="282"/>
        <item m="1" x="172"/>
        <item m="1" x="219"/>
        <item m="1" x="289"/>
        <item m="1" x="233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46"/>
        <item m="1" x="107"/>
        <item m="1" x="88"/>
        <item m="1" x="83"/>
        <item m="1" x="186"/>
        <item m="1" x="224"/>
        <item m="1" x="177"/>
        <item m="1" x="135"/>
        <item m="1" x="288"/>
        <item m="1" x="106"/>
        <item m="1" x="85"/>
        <item m="1" x="159"/>
        <item m="1" x="284"/>
        <item m="1" x="87"/>
        <item m="1" x="144"/>
        <item m="1" x="196"/>
        <item m="1" x="105"/>
        <item m="1" x="175"/>
        <item m="1" x="228"/>
        <item m="1" x="203"/>
        <item m="1" x="286"/>
        <item m="1" x="136"/>
        <item m="1" x="142"/>
        <item m="1" x="104"/>
        <item m="1" x="116"/>
        <item m="1" x="133"/>
        <item m="1" x="256"/>
        <item m="1" x="171"/>
        <item m="1" x="225"/>
        <item m="1" x="126"/>
        <item m="1" x="272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rowItems count="2">
    <i>
      <x v="289"/>
    </i>
    <i t="grand">
      <x/>
    </i>
  </rowItems>
  <colItems count="1">
    <i/>
  </colItems>
  <dataFields count="1">
    <dataField name="個数 / 人間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ピボットテーブル11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F2:F3" firstHeaderRow="1" firstDataRow="2" firstDataCol="0"/>
  <pivotFields count="3">
    <pivotField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showAll="0"/>
  </pivotFields>
  <rowItems count="1">
    <i/>
  </rowItems>
  <colFields count="1">
    <field x="1"/>
  </colFields>
  <colItems count="1">
    <i>
      <x v="21"/>
    </i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ピボットテーブル9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AW6:AW7" firstHeaderRow="1" firstDataRow="1" firstDataCol="1"/>
  <pivotFields count="3">
    <pivotField numFmtId="14" showAll="0"/>
    <pivotField showAll="0"/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Items count="1">
    <i/>
  </colItems>
  <formats count="2">
    <format dxfId="1">
      <pivotArea dataOnly="0" labelOnly="1" grandRow="1" outline="0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ピボットテーブル4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5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1">
    <i>
      <x v="21"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ピボットテーブル5" cacheId="0" applyNumberFormats="0" applyBorderFormats="0" applyFontFormats="0" applyPatternFormats="0" applyAlignmentFormats="0" applyWidthHeightFormats="1" dataCaption="値" missingCaption="0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3"/>
        <item m="1" x="1"/>
        <item m="1" x="2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ピボットテーブル6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ピボットテーブル7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3" firstHeaderRow="1" firstDataRow="1" firstDataCol="1" rowPageCount="1" colPageCount="1"/>
  <pivotFields count="3">
    <pivotField dataField="1" numFmtId="14" showAll="0"/>
    <pivotField axis="axisPage" multipleItemSelectionAllowed="1">
      <items count="23">
        <item h="1" m="1" x="1"/>
        <item h="1" m="1" x="2"/>
        <item h="1" m="1" x="3"/>
        <item h="1" m="1" x="4"/>
        <item m="1" x="5"/>
        <item m="1" x="6"/>
        <item h="1" m="1" x="7"/>
        <item h="1" m="1" x="14"/>
        <item h="1" m="1" x="21"/>
        <item h="1" m="1" x="12"/>
        <item h="1" m="1" x="20"/>
        <item h="1" m="1" x="18"/>
        <item h="1" m="1" x="9"/>
        <item h="1" m="1" x="10"/>
        <item h="1" m="1" x="17"/>
        <item h="1" m="1" x="19"/>
        <item h="1" m="1" x="16"/>
        <item h="1" m="1" x="15"/>
        <item h="1" m="1" x="11"/>
        <item h="1" m="1" x="13"/>
        <item h="1" m="1" x="8"/>
        <item h="1" x="0"/>
        <item t="default"/>
      </items>
    </pivotField>
    <pivotField axis="axisRow" showAll="0" sortType="descending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colItems count="1">
    <i/>
  </colItems>
  <pageFields count="1">
    <pageField fld="1" hier="-1"/>
  </pageField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ピボットテーブル12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itemPrintTitles="1" createdVersion="8" indent="0" outline="1" outlineData="1" multipleFieldFilters="0">
  <location ref="D2:F4" firstHeaderRow="1" firstDataRow="2" firstDataCol="1"/>
  <pivotFields count="3">
    <pivotField dataField="1" numFmtId="14" showAll="0"/>
    <pivotField axis="axisCol" showAll="0">
      <items count="23">
        <item m="1" x="5"/>
        <item m="1" x="6"/>
        <item m="1" x="3"/>
        <item m="1" x="1"/>
        <item m="1" x="2"/>
        <item m="1" x="4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C792" totalsRowShown="0" headerRowDxfId="7">
  <sortState xmlns:xlrd2="http://schemas.microsoft.com/office/spreadsheetml/2017/richdata2" ref="A2:C792">
    <sortCondition ref="A1"/>
    <sortCondition ref="B1"/>
  </sortState>
  <tableColumns count="3">
    <tableColumn id="1" xr3:uid="{00000000-0010-0000-0000-000001000000}" name="日付" dataDxfId="6"/>
    <tableColumn id="2" xr3:uid="{00000000-0010-0000-0000-000002000000}" name="ライン" dataDxfId="5"/>
    <tableColumn id="3" xr3:uid="{00000000-0010-0000-0000-000003000000}" name="人間" dataDxfId="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792"/>
  <sheetViews>
    <sheetView tabSelected="1" zoomScaleNormal="100" workbookViewId="0">
      <selection activeCell="A2" sqref="A2:C792"/>
    </sheetView>
  </sheetViews>
  <sheetFormatPr defaultRowHeight="18.75"/>
  <cols>
    <col min="1" max="1" width="11.625" bestFit="1" customWidth="1"/>
    <col min="2" max="2" width="11" bestFit="1" customWidth="1"/>
    <col min="3" max="3" width="13" bestFit="1" customWidth="1"/>
  </cols>
  <sheetData>
    <row r="1" spans="1:3">
      <c r="A1" s="28" t="s">
        <v>0</v>
      </c>
      <c r="B1" s="28" t="s">
        <v>1</v>
      </c>
      <c r="C1" s="28" t="s">
        <v>2</v>
      </c>
    </row>
    <row r="2" spans="1:3">
      <c r="A2" s="27"/>
      <c r="B2" s="26"/>
      <c r="C2" s="26"/>
    </row>
    <row r="3" spans="1:3">
      <c r="A3" s="27"/>
      <c r="B3" s="26"/>
      <c r="C3" s="26"/>
    </row>
    <row r="4" spans="1:3">
      <c r="A4" s="27"/>
      <c r="B4" s="26"/>
      <c r="C4" s="26"/>
    </row>
    <row r="5" spans="1:3">
      <c r="A5" s="27"/>
      <c r="B5" s="26"/>
      <c r="C5" s="26"/>
    </row>
    <row r="6" spans="1:3">
      <c r="A6" s="27"/>
      <c r="B6" s="26"/>
      <c r="C6" s="26"/>
    </row>
    <row r="7" spans="1:3">
      <c r="A7" s="27"/>
      <c r="B7" s="26"/>
      <c r="C7" s="26"/>
    </row>
    <row r="8" spans="1:3">
      <c r="A8" s="27"/>
      <c r="B8" s="26"/>
      <c r="C8" s="26"/>
    </row>
    <row r="9" spans="1:3">
      <c r="A9" s="27"/>
      <c r="B9" s="26"/>
      <c r="C9" s="26"/>
    </row>
    <row r="10" spans="1:3">
      <c r="A10" s="27"/>
      <c r="B10" s="26"/>
      <c r="C10" s="26"/>
    </row>
    <row r="11" spans="1:3">
      <c r="A11" s="27"/>
      <c r="B11" s="26"/>
      <c r="C11" s="26"/>
    </row>
    <row r="12" spans="1:3">
      <c r="A12" s="27"/>
      <c r="B12" s="26"/>
      <c r="C12" s="26"/>
    </row>
    <row r="13" spans="1:3">
      <c r="A13" s="27"/>
      <c r="B13" s="26"/>
      <c r="C13" s="26"/>
    </row>
    <row r="14" spans="1:3">
      <c r="A14" s="27"/>
      <c r="B14" s="26"/>
      <c r="C14" s="26"/>
    </row>
    <row r="15" spans="1:3">
      <c r="A15" s="27"/>
      <c r="B15" s="26"/>
      <c r="C15" s="26"/>
    </row>
    <row r="16" spans="1:3">
      <c r="A16" s="27"/>
      <c r="B16" s="26"/>
      <c r="C16" s="26"/>
    </row>
    <row r="17" spans="1:3">
      <c r="A17" s="27"/>
      <c r="B17" s="26"/>
      <c r="C17" s="26"/>
    </row>
    <row r="18" spans="1:3">
      <c r="A18" s="27"/>
      <c r="B18" s="26"/>
      <c r="C18" s="26"/>
    </row>
    <row r="19" spans="1:3">
      <c r="A19" s="27"/>
      <c r="B19" s="26"/>
      <c r="C19" s="26"/>
    </row>
    <row r="20" spans="1:3">
      <c r="A20" s="27"/>
      <c r="B20" s="26"/>
      <c r="C20" s="26"/>
    </row>
    <row r="21" spans="1:3">
      <c r="A21" s="27"/>
      <c r="B21" s="26"/>
      <c r="C21" s="26"/>
    </row>
    <row r="22" spans="1:3">
      <c r="A22" s="27"/>
      <c r="B22" s="26"/>
      <c r="C22" s="26"/>
    </row>
    <row r="23" spans="1:3">
      <c r="A23" s="27"/>
      <c r="B23" s="26"/>
      <c r="C23" s="26"/>
    </row>
    <row r="24" spans="1:3">
      <c r="A24" s="27"/>
      <c r="B24" s="26"/>
      <c r="C24" s="26"/>
    </row>
    <row r="25" spans="1:3">
      <c r="A25" s="27"/>
      <c r="B25" s="26"/>
      <c r="C25" s="26"/>
    </row>
    <row r="26" spans="1:3">
      <c r="A26" s="27"/>
      <c r="B26" s="26"/>
      <c r="C26" s="26"/>
    </row>
    <row r="27" spans="1:3">
      <c r="A27" s="27"/>
      <c r="B27" s="26"/>
      <c r="C27" s="26"/>
    </row>
    <row r="28" spans="1:3">
      <c r="A28" s="27"/>
      <c r="B28" s="26"/>
      <c r="C28" s="26"/>
    </row>
    <row r="29" spans="1:3">
      <c r="A29" s="27"/>
      <c r="B29" s="26"/>
      <c r="C29" s="26"/>
    </row>
    <row r="30" spans="1:3">
      <c r="A30" s="27"/>
      <c r="B30" s="26"/>
      <c r="C30" s="26"/>
    </row>
    <row r="31" spans="1:3">
      <c r="A31" s="27"/>
      <c r="B31" s="26"/>
      <c r="C31" s="26"/>
    </row>
    <row r="32" spans="1:3">
      <c r="A32" s="27"/>
      <c r="B32" s="26"/>
      <c r="C32" s="26"/>
    </row>
    <row r="33" spans="1:3">
      <c r="A33" s="27"/>
      <c r="B33" s="26"/>
      <c r="C33" s="26"/>
    </row>
    <row r="34" spans="1:3">
      <c r="A34" s="27"/>
      <c r="B34" s="26"/>
      <c r="C34" s="26"/>
    </row>
    <row r="35" spans="1:3">
      <c r="A35" s="27"/>
      <c r="B35" s="26"/>
      <c r="C35" s="26"/>
    </row>
    <row r="36" spans="1:3">
      <c r="A36" s="27"/>
      <c r="B36" s="26"/>
      <c r="C36" s="26"/>
    </row>
    <row r="37" spans="1:3">
      <c r="A37" s="27"/>
      <c r="B37" s="26"/>
      <c r="C37" s="26"/>
    </row>
    <row r="38" spans="1:3">
      <c r="A38" s="27"/>
      <c r="B38" s="26"/>
      <c r="C38" s="26"/>
    </row>
    <row r="39" spans="1:3">
      <c r="A39" s="27"/>
      <c r="B39" s="26"/>
      <c r="C39" s="26"/>
    </row>
    <row r="40" spans="1:3">
      <c r="A40" s="27"/>
      <c r="B40" s="26"/>
      <c r="C40" s="26"/>
    </row>
    <row r="41" spans="1:3">
      <c r="A41" s="27"/>
      <c r="B41" s="26"/>
      <c r="C41" s="26"/>
    </row>
    <row r="42" spans="1:3">
      <c r="A42" s="27"/>
      <c r="B42" s="26"/>
      <c r="C42" s="26"/>
    </row>
    <row r="43" spans="1:3">
      <c r="A43" s="27"/>
      <c r="B43" s="26"/>
      <c r="C43" s="26"/>
    </row>
    <row r="44" spans="1:3">
      <c r="A44" s="27"/>
      <c r="B44" s="26"/>
      <c r="C44" s="26"/>
    </row>
    <row r="45" spans="1:3">
      <c r="A45" s="27"/>
      <c r="B45" s="26"/>
      <c r="C45" s="26"/>
    </row>
    <row r="46" spans="1:3">
      <c r="A46" s="27"/>
      <c r="B46" s="26"/>
      <c r="C46" s="26"/>
    </row>
    <row r="47" spans="1:3">
      <c r="A47" s="27"/>
      <c r="B47" s="26"/>
      <c r="C47" s="26"/>
    </row>
    <row r="48" spans="1:3">
      <c r="A48" s="27"/>
      <c r="B48" s="26"/>
      <c r="C48" s="26"/>
    </row>
    <row r="49" spans="1:3">
      <c r="A49" s="27"/>
      <c r="B49" s="26"/>
      <c r="C49" s="26"/>
    </row>
    <row r="50" spans="1:3">
      <c r="A50" s="27"/>
      <c r="B50" s="26"/>
      <c r="C50" s="26"/>
    </row>
    <row r="51" spans="1:3">
      <c r="A51" s="27"/>
      <c r="B51" s="26"/>
      <c r="C51" s="26"/>
    </row>
    <row r="52" spans="1:3">
      <c r="A52" s="27"/>
      <c r="B52" s="26"/>
      <c r="C52" s="26"/>
    </row>
    <row r="53" spans="1:3">
      <c r="A53" s="27"/>
      <c r="B53" s="26"/>
      <c r="C53" s="26"/>
    </row>
    <row r="54" spans="1:3">
      <c r="A54" s="27"/>
      <c r="B54" s="26"/>
      <c r="C54" s="26"/>
    </row>
    <row r="55" spans="1:3">
      <c r="A55" s="27"/>
      <c r="B55" s="26"/>
      <c r="C55" s="26"/>
    </row>
    <row r="56" spans="1:3">
      <c r="A56" s="27"/>
      <c r="B56" s="26"/>
      <c r="C56" s="26"/>
    </row>
    <row r="57" spans="1:3">
      <c r="A57" s="27"/>
      <c r="B57" s="26"/>
      <c r="C57" s="26"/>
    </row>
    <row r="58" spans="1:3">
      <c r="A58" s="27"/>
      <c r="B58" s="26"/>
      <c r="C58" s="26"/>
    </row>
    <row r="59" spans="1:3">
      <c r="A59" s="27"/>
      <c r="B59" s="26"/>
      <c r="C59" s="26"/>
    </row>
    <row r="60" spans="1:3">
      <c r="A60" s="27"/>
      <c r="B60" s="26"/>
      <c r="C60" s="26"/>
    </row>
    <row r="61" spans="1:3">
      <c r="A61" s="27"/>
      <c r="B61" s="26"/>
      <c r="C61" s="26"/>
    </row>
    <row r="62" spans="1:3">
      <c r="A62" s="27"/>
      <c r="B62" s="26"/>
      <c r="C62" s="26"/>
    </row>
    <row r="63" spans="1:3">
      <c r="A63" s="27"/>
      <c r="B63" s="26"/>
      <c r="C63" s="26"/>
    </row>
    <row r="64" spans="1:3">
      <c r="A64" s="27"/>
      <c r="B64" s="26"/>
      <c r="C64" s="26"/>
    </row>
    <row r="65" spans="1:3">
      <c r="A65" s="27"/>
      <c r="B65" s="26"/>
      <c r="C65" s="26"/>
    </row>
    <row r="66" spans="1:3">
      <c r="A66" s="27"/>
      <c r="B66" s="26"/>
      <c r="C66" s="26"/>
    </row>
    <row r="67" spans="1:3">
      <c r="A67" s="27"/>
      <c r="B67" s="26"/>
      <c r="C67" s="26"/>
    </row>
    <row r="68" spans="1:3">
      <c r="A68" s="27"/>
      <c r="B68" s="26"/>
      <c r="C68" s="26"/>
    </row>
    <row r="69" spans="1:3">
      <c r="A69" s="27"/>
      <c r="B69" s="26"/>
      <c r="C69" s="26"/>
    </row>
    <row r="70" spans="1:3">
      <c r="A70" s="27"/>
      <c r="B70" s="26"/>
      <c r="C70" s="26"/>
    </row>
    <row r="71" spans="1:3">
      <c r="A71" s="27"/>
      <c r="B71" s="26"/>
      <c r="C71" s="26"/>
    </row>
    <row r="72" spans="1:3">
      <c r="A72" s="27"/>
      <c r="B72" s="26"/>
      <c r="C72" s="26"/>
    </row>
    <row r="73" spans="1:3">
      <c r="A73" s="27"/>
      <c r="B73" s="26"/>
      <c r="C73" s="26"/>
    </row>
    <row r="74" spans="1:3">
      <c r="A74" s="27"/>
      <c r="B74" s="26"/>
      <c r="C74" s="26"/>
    </row>
    <row r="75" spans="1:3">
      <c r="A75" s="27"/>
      <c r="B75" s="26"/>
      <c r="C75" s="26"/>
    </row>
    <row r="76" spans="1:3">
      <c r="A76" s="27"/>
      <c r="B76" s="26"/>
      <c r="C76" s="26"/>
    </row>
    <row r="77" spans="1:3">
      <c r="A77" s="27"/>
      <c r="B77" s="26"/>
      <c r="C77" s="26"/>
    </row>
    <row r="78" spans="1:3">
      <c r="A78" s="27"/>
      <c r="B78" s="26"/>
      <c r="C78" s="26"/>
    </row>
    <row r="79" spans="1:3">
      <c r="A79" s="27"/>
      <c r="B79" s="26"/>
      <c r="C79" s="26"/>
    </row>
    <row r="80" spans="1:3">
      <c r="A80" s="27"/>
      <c r="B80" s="26"/>
      <c r="C80" s="26"/>
    </row>
    <row r="81" spans="1:3">
      <c r="A81" s="27"/>
      <c r="B81" s="26"/>
      <c r="C81" s="26"/>
    </row>
    <row r="82" spans="1:3">
      <c r="A82" s="27"/>
      <c r="B82" s="26"/>
      <c r="C82" s="26"/>
    </row>
    <row r="83" spans="1:3">
      <c r="A83" s="27"/>
      <c r="B83" s="26"/>
      <c r="C83" s="26"/>
    </row>
    <row r="84" spans="1:3">
      <c r="A84" s="27"/>
      <c r="B84" s="26"/>
      <c r="C84" s="26"/>
    </row>
    <row r="85" spans="1:3">
      <c r="A85" s="27"/>
      <c r="B85" s="26"/>
      <c r="C85" s="26"/>
    </row>
    <row r="86" spans="1:3">
      <c r="A86" s="27"/>
      <c r="B86" s="26"/>
      <c r="C86" s="26"/>
    </row>
    <row r="87" spans="1:3">
      <c r="A87" s="27"/>
      <c r="B87" s="26"/>
      <c r="C87" s="26"/>
    </row>
    <row r="88" spans="1:3">
      <c r="A88" s="27"/>
      <c r="B88" s="26"/>
      <c r="C88" s="26"/>
    </row>
    <row r="89" spans="1:3">
      <c r="A89" s="27"/>
      <c r="B89" s="26"/>
      <c r="C89" s="26"/>
    </row>
    <row r="90" spans="1:3">
      <c r="A90" s="27"/>
      <c r="B90" s="26"/>
      <c r="C90" s="26"/>
    </row>
    <row r="91" spans="1:3">
      <c r="A91" s="27"/>
      <c r="B91" s="26"/>
      <c r="C91" s="26"/>
    </row>
    <row r="92" spans="1:3">
      <c r="A92" s="27"/>
      <c r="B92" s="26"/>
      <c r="C92" s="26"/>
    </row>
    <row r="93" spans="1:3">
      <c r="A93" s="27"/>
      <c r="B93" s="26"/>
      <c r="C93" s="26"/>
    </row>
    <row r="94" spans="1:3">
      <c r="A94" s="27"/>
      <c r="B94" s="26"/>
      <c r="C94" s="26"/>
    </row>
    <row r="95" spans="1:3">
      <c r="A95" s="27"/>
      <c r="B95" s="26"/>
      <c r="C95" s="26"/>
    </row>
    <row r="96" spans="1:3">
      <c r="A96" s="27"/>
      <c r="B96" s="26"/>
      <c r="C96" s="26"/>
    </row>
    <row r="97" spans="1:3">
      <c r="A97" s="27"/>
      <c r="B97" s="26"/>
      <c r="C97" s="26"/>
    </row>
    <row r="98" spans="1:3">
      <c r="A98" s="27"/>
      <c r="B98" s="26"/>
      <c r="C98" s="26"/>
    </row>
    <row r="99" spans="1:3">
      <c r="A99" s="27"/>
      <c r="B99" s="26"/>
      <c r="C99" s="26"/>
    </row>
    <row r="100" spans="1:3">
      <c r="A100" s="27"/>
      <c r="B100" s="26"/>
      <c r="C100" s="26"/>
    </row>
    <row r="101" spans="1:3">
      <c r="A101" s="27"/>
      <c r="B101" s="26"/>
      <c r="C101" s="26"/>
    </row>
    <row r="102" spans="1:3">
      <c r="A102" s="27"/>
      <c r="B102" s="26"/>
      <c r="C102" s="26"/>
    </row>
    <row r="103" spans="1:3">
      <c r="A103" s="27"/>
      <c r="B103" s="26"/>
      <c r="C103" s="26"/>
    </row>
    <row r="104" spans="1:3">
      <c r="A104" s="27"/>
      <c r="B104" s="26"/>
      <c r="C104" s="26"/>
    </row>
    <row r="105" spans="1:3">
      <c r="A105" s="27"/>
      <c r="B105" s="26"/>
      <c r="C105" s="26"/>
    </row>
    <row r="106" spans="1:3">
      <c r="A106" s="27"/>
      <c r="B106" s="26"/>
      <c r="C106" s="26"/>
    </row>
    <row r="107" spans="1:3">
      <c r="A107" s="27"/>
      <c r="B107" s="26"/>
      <c r="C107" s="26"/>
    </row>
    <row r="108" spans="1:3">
      <c r="A108" s="27"/>
      <c r="B108" s="26"/>
      <c r="C108" s="26"/>
    </row>
    <row r="109" spans="1:3">
      <c r="A109" s="27"/>
      <c r="B109" s="26"/>
      <c r="C109" s="26"/>
    </row>
    <row r="110" spans="1:3">
      <c r="A110" s="27"/>
      <c r="B110" s="26"/>
      <c r="C110" s="26"/>
    </row>
    <row r="111" spans="1:3">
      <c r="A111" s="27"/>
      <c r="B111" s="26"/>
      <c r="C111" s="26"/>
    </row>
    <row r="112" spans="1:3">
      <c r="A112" s="27"/>
      <c r="B112" s="26"/>
      <c r="C112" s="26"/>
    </row>
    <row r="113" spans="1:3">
      <c r="A113" s="27"/>
      <c r="B113" s="26"/>
      <c r="C113" s="26"/>
    </row>
    <row r="114" spans="1:3">
      <c r="A114" s="27"/>
      <c r="B114" s="26"/>
      <c r="C114" s="26"/>
    </row>
    <row r="115" spans="1:3">
      <c r="A115" s="27"/>
      <c r="B115" s="26"/>
      <c r="C115" s="26"/>
    </row>
    <row r="116" spans="1:3">
      <c r="A116" s="27"/>
      <c r="B116" s="26"/>
      <c r="C116" s="26"/>
    </row>
    <row r="117" spans="1:3">
      <c r="A117" s="27"/>
      <c r="B117" s="26"/>
      <c r="C117" s="26"/>
    </row>
    <row r="118" spans="1:3">
      <c r="A118" s="27"/>
      <c r="B118" s="26"/>
      <c r="C118" s="26"/>
    </row>
    <row r="119" spans="1:3">
      <c r="A119" s="27"/>
      <c r="B119" s="26"/>
      <c r="C119" s="26"/>
    </row>
    <row r="120" spans="1:3">
      <c r="A120" s="27"/>
      <c r="B120" s="26"/>
      <c r="C120" s="26"/>
    </row>
    <row r="121" spans="1:3">
      <c r="A121" s="27"/>
      <c r="B121" s="26"/>
      <c r="C121" s="26"/>
    </row>
    <row r="122" spans="1:3">
      <c r="A122" s="27"/>
      <c r="B122" s="26"/>
      <c r="C122" s="26"/>
    </row>
    <row r="123" spans="1:3">
      <c r="A123" s="27"/>
      <c r="B123" s="26"/>
      <c r="C123" s="26"/>
    </row>
    <row r="124" spans="1:3">
      <c r="A124" s="27"/>
      <c r="B124" s="26"/>
      <c r="C124" s="26"/>
    </row>
    <row r="125" spans="1:3">
      <c r="A125" s="27"/>
      <c r="B125" s="26"/>
      <c r="C125" s="26"/>
    </row>
    <row r="126" spans="1:3">
      <c r="A126" s="27"/>
      <c r="B126" s="26"/>
      <c r="C126" s="26"/>
    </row>
    <row r="127" spans="1:3">
      <c r="A127" s="27"/>
      <c r="B127" s="26"/>
      <c r="C127" s="26"/>
    </row>
    <row r="128" spans="1:3">
      <c r="A128" s="27"/>
      <c r="B128" s="26"/>
      <c r="C128" s="26"/>
    </row>
    <row r="129" spans="1:3">
      <c r="A129" s="27"/>
      <c r="B129" s="26"/>
      <c r="C129" s="26"/>
    </row>
    <row r="130" spans="1:3">
      <c r="A130" s="27"/>
      <c r="B130" s="26"/>
      <c r="C130" s="26"/>
    </row>
    <row r="131" spans="1:3">
      <c r="A131" s="27"/>
      <c r="B131" s="26"/>
      <c r="C131" s="26"/>
    </row>
    <row r="132" spans="1:3">
      <c r="A132" s="27"/>
      <c r="B132" s="26"/>
      <c r="C132" s="26"/>
    </row>
    <row r="133" spans="1:3">
      <c r="A133" s="27"/>
      <c r="B133" s="26"/>
      <c r="C133" s="26"/>
    </row>
    <row r="134" spans="1:3">
      <c r="A134" s="27"/>
      <c r="B134" s="26"/>
      <c r="C134" s="26"/>
    </row>
    <row r="135" spans="1:3">
      <c r="A135" s="27"/>
      <c r="B135" s="26"/>
      <c r="C135" s="26"/>
    </row>
    <row r="136" spans="1:3">
      <c r="A136" s="27"/>
      <c r="B136" s="26"/>
      <c r="C136" s="26"/>
    </row>
    <row r="137" spans="1:3">
      <c r="A137" s="27"/>
      <c r="B137" s="26"/>
      <c r="C137" s="26"/>
    </row>
    <row r="138" spans="1:3">
      <c r="A138" s="27"/>
      <c r="B138" s="26"/>
      <c r="C138" s="26"/>
    </row>
    <row r="139" spans="1:3">
      <c r="A139" s="27"/>
      <c r="B139" s="26"/>
      <c r="C139" s="26"/>
    </row>
    <row r="140" spans="1:3">
      <c r="A140" s="27"/>
      <c r="B140" s="26"/>
      <c r="C140" s="26"/>
    </row>
    <row r="141" spans="1:3">
      <c r="A141" s="27"/>
      <c r="B141" s="26"/>
      <c r="C141" s="26"/>
    </row>
    <row r="142" spans="1:3">
      <c r="A142" s="27"/>
      <c r="B142" s="26"/>
      <c r="C142" s="26"/>
    </row>
    <row r="143" spans="1:3">
      <c r="A143" s="27"/>
      <c r="B143" s="26"/>
      <c r="C143" s="26"/>
    </row>
    <row r="144" spans="1:3">
      <c r="A144" s="27"/>
      <c r="B144" s="26"/>
      <c r="C144" s="26"/>
    </row>
    <row r="145" spans="1:3">
      <c r="A145" s="27"/>
      <c r="B145" s="26"/>
      <c r="C145" s="26"/>
    </row>
    <row r="146" spans="1:3">
      <c r="A146" s="27"/>
      <c r="B146" s="26"/>
      <c r="C146" s="26"/>
    </row>
    <row r="147" spans="1:3">
      <c r="A147" s="27"/>
      <c r="B147" s="26"/>
      <c r="C147" s="26"/>
    </row>
    <row r="148" spans="1:3">
      <c r="A148" s="27"/>
      <c r="B148" s="26"/>
      <c r="C148" s="26"/>
    </row>
    <row r="149" spans="1:3">
      <c r="A149" s="27"/>
      <c r="B149" s="26"/>
      <c r="C149" s="26"/>
    </row>
    <row r="150" spans="1:3">
      <c r="A150" s="27"/>
      <c r="B150" s="26"/>
      <c r="C150" s="26"/>
    </row>
    <row r="151" spans="1:3">
      <c r="A151" s="27"/>
      <c r="B151" s="26"/>
      <c r="C151" s="26"/>
    </row>
    <row r="152" spans="1:3">
      <c r="A152" s="27"/>
      <c r="B152" s="26"/>
      <c r="C152" s="26"/>
    </row>
    <row r="153" spans="1:3">
      <c r="A153" s="27"/>
      <c r="B153" s="26"/>
      <c r="C153" s="26"/>
    </row>
    <row r="154" spans="1:3">
      <c r="A154" s="27"/>
      <c r="B154" s="26"/>
      <c r="C154" s="26"/>
    </row>
    <row r="155" spans="1:3">
      <c r="A155" s="27"/>
      <c r="B155" s="26"/>
      <c r="C155" s="26"/>
    </row>
    <row r="156" spans="1:3">
      <c r="A156" s="27"/>
      <c r="B156" s="26"/>
      <c r="C156" s="26"/>
    </row>
    <row r="157" spans="1:3">
      <c r="A157" s="27"/>
      <c r="B157" s="26"/>
      <c r="C157" s="26"/>
    </row>
    <row r="158" spans="1:3">
      <c r="A158" s="27"/>
      <c r="B158" s="26"/>
      <c r="C158" s="26"/>
    </row>
    <row r="159" spans="1:3">
      <c r="A159" s="27"/>
      <c r="B159" s="26"/>
      <c r="C159" s="26"/>
    </row>
    <row r="160" spans="1:3">
      <c r="A160" s="27"/>
      <c r="B160" s="26"/>
      <c r="C160" s="26"/>
    </row>
    <row r="161" spans="1:3">
      <c r="A161" s="27"/>
      <c r="B161" s="26"/>
      <c r="C161" s="26"/>
    </row>
    <row r="162" spans="1:3">
      <c r="A162" s="27"/>
      <c r="B162" s="26"/>
      <c r="C162" s="26"/>
    </row>
    <row r="163" spans="1:3">
      <c r="A163" s="27"/>
      <c r="B163" s="26"/>
      <c r="C163" s="26"/>
    </row>
    <row r="164" spans="1:3">
      <c r="A164" s="27"/>
      <c r="B164" s="26"/>
      <c r="C164" s="26"/>
    </row>
    <row r="165" spans="1:3">
      <c r="A165" s="27"/>
      <c r="B165" s="26"/>
      <c r="C165" s="26"/>
    </row>
    <row r="166" spans="1:3">
      <c r="A166" s="27"/>
      <c r="B166" s="26"/>
      <c r="C166" s="26"/>
    </row>
    <row r="167" spans="1:3">
      <c r="A167" s="27"/>
      <c r="B167" s="26"/>
      <c r="C167" s="26"/>
    </row>
    <row r="168" spans="1:3">
      <c r="A168" s="27"/>
      <c r="B168" s="26"/>
      <c r="C168" s="26"/>
    </row>
    <row r="169" spans="1:3">
      <c r="A169" s="27"/>
      <c r="B169" s="26"/>
      <c r="C169" s="26"/>
    </row>
    <row r="170" spans="1:3">
      <c r="A170" s="27"/>
      <c r="B170" s="26"/>
      <c r="C170" s="26"/>
    </row>
    <row r="171" spans="1:3">
      <c r="A171" s="27"/>
      <c r="B171" s="26"/>
      <c r="C171" s="26"/>
    </row>
    <row r="172" spans="1:3">
      <c r="A172" s="27"/>
      <c r="B172" s="26"/>
      <c r="C172" s="26"/>
    </row>
    <row r="173" spans="1:3">
      <c r="A173" s="27"/>
      <c r="B173" s="26"/>
      <c r="C173" s="26"/>
    </row>
    <row r="174" spans="1:3">
      <c r="A174" s="27"/>
      <c r="B174" s="26"/>
      <c r="C174" s="26"/>
    </row>
    <row r="175" spans="1:3">
      <c r="A175" s="27"/>
      <c r="B175" s="26"/>
      <c r="C175" s="26"/>
    </row>
    <row r="176" spans="1:3">
      <c r="A176" s="27"/>
      <c r="B176" s="26"/>
      <c r="C176" s="26"/>
    </row>
    <row r="177" spans="1:3">
      <c r="A177" s="27"/>
      <c r="B177" s="26"/>
      <c r="C177" s="26"/>
    </row>
    <row r="178" spans="1:3">
      <c r="A178" s="27"/>
      <c r="B178" s="26"/>
      <c r="C178" s="26"/>
    </row>
    <row r="179" spans="1:3">
      <c r="A179" s="27"/>
      <c r="B179" s="26"/>
      <c r="C179" s="26"/>
    </row>
    <row r="180" spans="1:3">
      <c r="A180" s="27"/>
      <c r="B180" s="26"/>
      <c r="C180" s="26"/>
    </row>
    <row r="181" spans="1:3">
      <c r="A181" s="27"/>
      <c r="B181" s="26"/>
      <c r="C181" s="26"/>
    </row>
    <row r="182" spans="1:3">
      <c r="A182" s="27"/>
      <c r="B182" s="26"/>
      <c r="C182" s="26"/>
    </row>
    <row r="183" spans="1:3">
      <c r="A183" s="27"/>
      <c r="B183" s="26"/>
      <c r="C183" s="26"/>
    </row>
    <row r="184" spans="1:3">
      <c r="A184" s="27"/>
      <c r="B184" s="26"/>
      <c r="C184" s="26"/>
    </row>
    <row r="185" spans="1:3">
      <c r="A185" s="27"/>
      <c r="B185" s="26"/>
      <c r="C185" s="26"/>
    </row>
    <row r="186" spans="1:3">
      <c r="A186" s="27"/>
      <c r="B186" s="26"/>
      <c r="C186" s="26"/>
    </row>
    <row r="187" spans="1:3">
      <c r="A187" s="27"/>
      <c r="B187" s="26"/>
      <c r="C187" s="26"/>
    </row>
    <row r="188" spans="1:3">
      <c r="A188" s="27"/>
      <c r="B188" s="26"/>
      <c r="C188" s="26"/>
    </row>
    <row r="189" spans="1:3">
      <c r="A189" s="27"/>
      <c r="B189" s="26"/>
      <c r="C189" s="26"/>
    </row>
    <row r="190" spans="1:3">
      <c r="A190" s="27"/>
      <c r="B190" s="26"/>
      <c r="C190" s="26"/>
    </row>
    <row r="191" spans="1:3">
      <c r="A191" s="27"/>
      <c r="B191" s="26"/>
      <c r="C191" s="26"/>
    </row>
    <row r="192" spans="1:3">
      <c r="A192" s="27"/>
      <c r="B192" s="26"/>
      <c r="C192" s="26"/>
    </row>
    <row r="193" spans="1:3">
      <c r="A193" s="27"/>
      <c r="B193" s="26"/>
      <c r="C193" s="26"/>
    </row>
    <row r="194" spans="1:3">
      <c r="A194" s="27"/>
      <c r="B194" s="26"/>
      <c r="C194" s="26"/>
    </row>
    <row r="195" spans="1:3">
      <c r="A195" s="27"/>
      <c r="B195" s="26"/>
      <c r="C195" s="26"/>
    </row>
    <row r="196" spans="1:3">
      <c r="A196" s="27"/>
      <c r="B196" s="26"/>
      <c r="C196" s="26"/>
    </row>
    <row r="197" spans="1:3">
      <c r="A197" s="27"/>
      <c r="B197" s="26"/>
      <c r="C197" s="26"/>
    </row>
    <row r="198" spans="1:3">
      <c r="A198" s="27"/>
      <c r="B198" s="26"/>
      <c r="C198" s="26"/>
    </row>
    <row r="199" spans="1:3">
      <c r="A199" s="27"/>
      <c r="B199" s="26"/>
      <c r="C199" s="26"/>
    </row>
    <row r="200" spans="1:3">
      <c r="A200" s="27"/>
      <c r="B200" s="26"/>
      <c r="C200" s="26"/>
    </row>
    <row r="201" spans="1:3">
      <c r="A201" s="27"/>
      <c r="B201" s="26"/>
      <c r="C201" s="26"/>
    </row>
    <row r="202" spans="1:3">
      <c r="A202" s="27"/>
      <c r="B202" s="26"/>
      <c r="C202" s="26"/>
    </row>
    <row r="203" spans="1:3">
      <c r="A203" s="27"/>
      <c r="B203" s="26"/>
      <c r="C203" s="26"/>
    </row>
    <row r="204" spans="1:3">
      <c r="A204" s="27"/>
      <c r="B204" s="26"/>
      <c r="C204" s="26"/>
    </row>
    <row r="205" spans="1:3">
      <c r="A205" s="27"/>
      <c r="B205" s="26"/>
      <c r="C205" s="26"/>
    </row>
    <row r="206" spans="1:3">
      <c r="A206" s="27"/>
      <c r="B206" s="26"/>
      <c r="C206" s="26"/>
    </row>
    <row r="207" spans="1:3">
      <c r="A207" s="27"/>
      <c r="B207" s="26"/>
      <c r="C207" s="26"/>
    </row>
    <row r="208" spans="1:3">
      <c r="A208" s="27"/>
      <c r="B208" s="26"/>
      <c r="C208" s="26"/>
    </row>
    <row r="209" spans="1:3">
      <c r="A209" s="27"/>
      <c r="B209" s="26"/>
      <c r="C209" s="26"/>
    </row>
    <row r="210" spans="1:3">
      <c r="A210" s="27"/>
      <c r="B210" s="26"/>
      <c r="C210" s="26"/>
    </row>
    <row r="211" spans="1:3">
      <c r="A211" s="27"/>
      <c r="B211" s="26"/>
      <c r="C211" s="26"/>
    </row>
    <row r="212" spans="1:3">
      <c r="A212" s="27"/>
      <c r="B212" s="26"/>
      <c r="C212" s="26"/>
    </row>
    <row r="213" spans="1:3">
      <c r="A213" s="27"/>
      <c r="B213" s="26"/>
      <c r="C213" s="26"/>
    </row>
    <row r="214" spans="1:3">
      <c r="A214" s="27"/>
      <c r="B214" s="26"/>
      <c r="C214" s="26"/>
    </row>
    <row r="215" spans="1:3">
      <c r="A215" s="27"/>
      <c r="B215" s="26"/>
      <c r="C215" s="26"/>
    </row>
    <row r="216" spans="1:3">
      <c r="A216" s="27"/>
      <c r="B216" s="26"/>
      <c r="C216" s="26"/>
    </row>
    <row r="217" spans="1:3">
      <c r="A217" s="27"/>
      <c r="B217" s="26"/>
      <c r="C217" s="26"/>
    </row>
    <row r="218" spans="1:3">
      <c r="A218" s="27"/>
      <c r="B218" s="26"/>
      <c r="C218" s="26"/>
    </row>
    <row r="219" spans="1:3">
      <c r="A219" s="27"/>
      <c r="B219" s="26"/>
      <c r="C219" s="26"/>
    </row>
    <row r="220" spans="1:3">
      <c r="A220" s="27"/>
      <c r="B220" s="26"/>
      <c r="C220" s="26"/>
    </row>
    <row r="221" spans="1:3">
      <c r="A221" s="27"/>
      <c r="B221" s="26"/>
      <c r="C221" s="26"/>
    </row>
    <row r="222" spans="1:3">
      <c r="A222" s="27"/>
      <c r="B222" s="26"/>
      <c r="C222" s="26"/>
    </row>
    <row r="223" spans="1:3">
      <c r="A223" s="27"/>
      <c r="B223" s="26"/>
      <c r="C223" s="26"/>
    </row>
    <row r="224" spans="1:3">
      <c r="A224" s="27"/>
      <c r="B224" s="26"/>
      <c r="C224" s="26"/>
    </row>
    <row r="225" spans="1:3">
      <c r="A225" s="27"/>
      <c r="B225" s="26"/>
      <c r="C225" s="26"/>
    </row>
    <row r="226" spans="1:3">
      <c r="A226" s="27"/>
      <c r="B226" s="26"/>
      <c r="C226" s="26"/>
    </row>
    <row r="227" spans="1:3">
      <c r="A227" s="27"/>
      <c r="B227" s="26"/>
      <c r="C227" s="26"/>
    </row>
    <row r="228" spans="1:3">
      <c r="A228" s="27"/>
      <c r="B228" s="26"/>
      <c r="C228" s="26"/>
    </row>
    <row r="229" spans="1:3">
      <c r="A229" s="27"/>
      <c r="B229" s="26"/>
      <c r="C229" s="26"/>
    </row>
    <row r="230" spans="1:3">
      <c r="A230" s="27"/>
      <c r="B230" s="26"/>
      <c r="C230" s="26"/>
    </row>
    <row r="231" spans="1:3">
      <c r="A231" s="27"/>
      <c r="B231" s="26"/>
      <c r="C231" s="26"/>
    </row>
    <row r="232" spans="1:3">
      <c r="A232" s="27"/>
      <c r="B232" s="26"/>
      <c r="C232" s="26"/>
    </row>
    <row r="233" spans="1:3">
      <c r="A233" s="27"/>
      <c r="B233" s="26"/>
      <c r="C233" s="26"/>
    </row>
    <row r="234" spans="1:3">
      <c r="A234" s="27"/>
      <c r="B234" s="26"/>
      <c r="C234" s="26"/>
    </row>
    <row r="235" spans="1:3">
      <c r="A235" s="27"/>
      <c r="B235" s="26"/>
      <c r="C235" s="26"/>
    </row>
    <row r="236" spans="1:3">
      <c r="A236" s="27"/>
      <c r="B236" s="26"/>
      <c r="C236" s="26"/>
    </row>
    <row r="237" spans="1:3">
      <c r="A237" s="27"/>
      <c r="B237" s="26"/>
      <c r="C237" s="26"/>
    </row>
    <row r="238" spans="1:3">
      <c r="A238" s="27"/>
      <c r="B238" s="26"/>
      <c r="C238" s="26"/>
    </row>
    <row r="239" spans="1:3">
      <c r="A239" s="27"/>
      <c r="B239" s="26"/>
      <c r="C239" s="26"/>
    </row>
    <row r="240" spans="1:3">
      <c r="A240" s="27"/>
      <c r="B240" s="26"/>
      <c r="C240" s="26"/>
    </row>
    <row r="241" spans="1:3">
      <c r="A241" s="27"/>
      <c r="B241" s="26"/>
      <c r="C241" s="26"/>
    </row>
    <row r="242" spans="1:3">
      <c r="A242" s="27"/>
      <c r="B242" s="26"/>
      <c r="C242" s="26"/>
    </row>
    <row r="243" spans="1:3">
      <c r="A243" s="27"/>
      <c r="B243" s="26"/>
      <c r="C243" s="26"/>
    </row>
    <row r="244" spans="1:3">
      <c r="A244" s="27"/>
      <c r="B244" s="26"/>
      <c r="C244" s="26"/>
    </row>
    <row r="245" spans="1:3">
      <c r="A245" s="27"/>
      <c r="B245" s="26"/>
      <c r="C245" s="26"/>
    </row>
    <row r="246" spans="1:3">
      <c r="A246" s="27"/>
      <c r="B246" s="26"/>
      <c r="C246" s="26"/>
    </row>
    <row r="247" spans="1:3">
      <c r="A247" s="27"/>
      <c r="B247" s="26"/>
      <c r="C247" s="26"/>
    </row>
    <row r="248" spans="1:3">
      <c r="A248" s="27"/>
      <c r="B248" s="26"/>
      <c r="C248" s="26"/>
    </row>
    <row r="249" spans="1:3">
      <c r="A249" s="27"/>
      <c r="B249" s="26"/>
      <c r="C249" s="26"/>
    </row>
    <row r="250" spans="1:3">
      <c r="A250" s="27"/>
      <c r="B250" s="26"/>
      <c r="C250" s="26"/>
    </row>
    <row r="251" spans="1:3">
      <c r="A251" s="27"/>
      <c r="B251" s="26"/>
      <c r="C251" s="26"/>
    </row>
    <row r="252" spans="1:3">
      <c r="A252" s="27"/>
      <c r="B252" s="26"/>
      <c r="C252" s="26"/>
    </row>
    <row r="253" spans="1:3">
      <c r="A253" s="27"/>
      <c r="B253" s="26"/>
      <c r="C253" s="26"/>
    </row>
    <row r="254" spans="1:3">
      <c r="A254" s="27"/>
      <c r="B254" s="26"/>
      <c r="C254" s="26"/>
    </row>
    <row r="255" spans="1:3">
      <c r="A255" s="27"/>
      <c r="B255" s="26"/>
      <c r="C255" s="26"/>
    </row>
    <row r="256" spans="1:3">
      <c r="A256" s="27"/>
      <c r="B256" s="26"/>
      <c r="C256" s="26"/>
    </row>
    <row r="257" spans="1:3">
      <c r="A257" s="27"/>
      <c r="B257" s="26"/>
      <c r="C257" s="26"/>
    </row>
    <row r="258" spans="1:3">
      <c r="A258" s="27"/>
      <c r="B258" s="26"/>
      <c r="C258" s="26"/>
    </row>
    <row r="259" spans="1:3">
      <c r="A259" s="27"/>
      <c r="B259" s="26"/>
      <c r="C259" s="26"/>
    </row>
    <row r="260" spans="1:3">
      <c r="A260" s="27"/>
      <c r="B260" s="26"/>
      <c r="C260" s="26"/>
    </row>
    <row r="261" spans="1:3">
      <c r="A261" s="27"/>
      <c r="B261" s="26"/>
      <c r="C261" s="26"/>
    </row>
    <row r="262" spans="1:3">
      <c r="A262" s="27"/>
      <c r="B262" s="26"/>
      <c r="C262" s="26"/>
    </row>
    <row r="263" spans="1:3">
      <c r="A263" s="27"/>
      <c r="B263" s="26"/>
      <c r="C263" s="26"/>
    </row>
    <row r="264" spans="1:3">
      <c r="A264" s="27"/>
      <c r="B264" s="26"/>
      <c r="C264" s="26"/>
    </row>
    <row r="265" spans="1:3">
      <c r="A265" s="27"/>
      <c r="B265" s="26"/>
      <c r="C265" s="26"/>
    </row>
    <row r="266" spans="1:3">
      <c r="A266" s="27"/>
      <c r="B266" s="26"/>
      <c r="C266" s="26"/>
    </row>
    <row r="267" spans="1:3">
      <c r="A267" s="27"/>
      <c r="B267" s="26"/>
      <c r="C267" s="26"/>
    </row>
    <row r="268" spans="1:3">
      <c r="A268" s="27"/>
      <c r="B268" s="26"/>
      <c r="C268" s="26"/>
    </row>
    <row r="269" spans="1:3">
      <c r="A269" s="27"/>
      <c r="B269" s="26"/>
      <c r="C269" s="26"/>
    </row>
    <row r="270" spans="1:3">
      <c r="A270" s="27"/>
      <c r="B270" s="26"/>
      <c r="C270" s="26"/>
    </row>
    <row r="271" spans="1:3">
      <c r="A271" s="27"/>
      <c r="B271" s="26"/>
      <c r="C271" s="26"/>
    </row>
    <row r="272" spans="1:3">
      <c r="A272" s="27"/>
      <c r="B272" s="26"/>
      <c r="C272" s="26"/>
    </row>
    <row r="273" spans="1:3">
      <c r="A273" s="27"/>
      <c r="B273" s="26"/>
      <c r="C273" s="26"/>
    </row>
    <row r="274" spans="1:3">
      <c r="A274" s="27"/>
      <c r="B274" s="26"/>
      <c r="C274" s="26"/>
    </row>
    <row r="275" spans="1:3">
      <c r="A275" s="27"/>
      <c r="B275" s="26"/>
      <c r="C275" s="26"/>
    </row>
    <row r="276" spans="1:3">
      <c r="A276" s="27"/>
      <c r="B276" s="26"/>
      <c r="C276" s="26"/>
    </row>
    <row r="277" spans="1:3">
      <c r="A277" s="27"/>
      <c r="B277" s="26"/>
      <c r="C277" s="26"/>
    </row>
    <row r="278" spans="1:3">
      <c r="A278" s="27"/>
      <c r="B278" s="26"/>
      <c r="C278" s="26"/>
    </row>
    <row r="279" spans="1:3">
      <c r="A279" s="27"/>
      <c r="B279" s="26"/>
      <c r="C279" s="26"/>
    </row>
    <row r="280" spans="1:3">
      <c r="A280" s="27"/>
      <c r="B280" s="26"/>
      <c r="C280" s="26"/>
    </row>
    <row r="281" spans="1:3">
      <c r="A281" s="27"/>
      <c r="B281" s="26"/>
      <c r="C281" s="26"/>
    </row>
    <row r="282" spans="1:3">
      <c r="A282" s="27"/>
      <c r="B282" s="26"/>
      <c r="C282" s="26"/>
    </row>
    <row r="283" spans="1:3">
      <c r="A283" s="27"/>
      <c r="B283" s="26"/>
      <c r="C283" s="26"/>
    </row>
    <row r="284" spans="1:3">
      <c r="A284" s="27"/>
      <c r="B284" s="26"/>
      <c r="C284" s="26"/>
    </row>
    <row r="285" spans="1:3">
      <c r="A285" s="27"/>
      <c r="B285" s="26"/>
      <c r="C285" s="26"/>
    </row>
    <row r="286" spans="1:3">
      <c r="A286" s="27"/>
      <c r="B286" s="26"/>
      <c r="C286" s="26"/>
    </row>
    <row r="287" spans="1:3">
      <c r="A287" s="27"/>
      <c r="B287" s="26"/>
      <c r="C287" s="26"/>
    </row>
    <row r="288" spans="1:3">
      <c r="A288" s="27"/>
      <c r="B288" s="26"/>
      <c r="C288" s="26"/>
    </row>
    <row r="289" spans="1:3">
      <c r="A289" s="27"/>
      <c r="B289" s="26"/>
      <c r="C289" s="26"/>
    </row>
    <row r="290" spans="1:3">
      <c r="A290" s="27"/>
      <c r="B290" s="26"/>
      <c r="C290" s="26"/>
    </row>
    <row r="291" spans="1:3">
      <c r="A291" s="27"/>
      <c r="B291" s="26"/>
      <c r="C291" s="26"/>
    </row>
    <row r="292" spans="1:3">
      <c r="A292" s="27"/>
      <c r="B292" s="26"/>
      <c r="C292" s="26"/>
    </row>
    <row r="293" spans="1:3">
      <c r="A293" s="27"/>
      <c r="B293" s="26"/>
      <c r="C293" s="26"/>
    </row>
    <row r="294" spans="1:3">
      <c r="A294" s="27"/>
      <c r="B294" s="26"/>
      <c r="C294" s="26"/>
    </row>
    <row r="295" spans="1:3">
      <c r="A295" s="27"/>
      <c r="B295" s="26"/>
      <c r="C295" s="26"/>
    </row>
    <row r="296" spans="1:3">
      <c r="A296" s="27"/>
      <c r="B296" s="26"/>
      <c r="C296" s="26"/>
    </row>
    <row r="297" spans="1:3">
      <c r="A297" s="27"/>
      <c r="B297" s="26"/>
      <c r="C297" s="26"/>
    </row>
    <row r="298" spans="1:3">
      <c r="A298" s="27"/>
      <c r="B298" s="26"/>
      <c r="C298" s="26"/>
    </row>
    <row r="299" spans="1:3">
      <c r="A299" s="27"/>
      <c r="B299" s="26"/>
      <c r="C299" s="26"/>
    </row>
    <row r="300" spans="1:3">
      <c r="A300" s="27"/>
      <c r="B300" s="26"/>
      <c r="C300" s="26"/>
    </row>
    <row r="301" spans="1:3">
      <c r="A301" s="27"/>
      <c r="B301" s="26"/>
      <c r="C301" s="26"/>
    </row>
    <row r="302" spans="1:3">
      <c r="A302" s="27"/>
      <c r="B302" s="26"/>
      <c r="C302" s="26"/>
    </row>
    <row r="303" spans="1:3">
      <c r="A303" s="27"/>
      <c r="B303" s="26"/>
      <c r="C303" s="26"/>
    </row>
    <row r="304" spans="1:3">
      <c r="A304" s="27"/>
      <c r="B304" s="26"/>
      <c r="C304" s="26"/>
    </row>
    <row r="305" spans="1:3">
      <c r="A305" s="27"/>
      <c r="B305" s="26"/>
      <c r="C305" s="26"/>
    </row>
    <row r="306" spans="1:3">
      <c r="A306" s="27"/>
      <c r="B306" s="26"/>
      <c r="C306" s="26"/>
    </row>
    <row r="307" spans="1:3">
      <c r="A307" s="27"/>
      <c r="B307" s="26"/>
      <c r="C307" s="26"/>
    </row>
    <row r="308" spans="1:3">
      <c r="A308" s="27"/>
      <c r="B308" s="26"/>
      <c r="C308" s="26"/>
    </row>
    <row r="309" spans="1:3">
      <c r="A309" s="27"/>
      <c r="B309" s="26"/>
      <c r="C309" s="26"/>
    </row>
    <row r="310" spans="1:3">
      <c r="A310" s="27"/>
      <c r="B310" s="26"/>
      <c r="C310" s="26"/>
    </row>
    <row r="311" spans="1:3">
      <c r="A311" s="27"/>
      <c r="B311" s="26"/>
      <c r="C311" s="26"/>
    </row>
    <row r="312" spans="1:3">
      <c r="A312" s="27"/>
      <c r="B312" s="26"/>
      <c r="C312" s="26"/>
    </row>
    <row r="313" spans="1:3">
      <c r="A313" s="27"/>
      <c r="B313" s="26"/>
      <c r="C313" s="26"/>
    </row>
    <row r="314" spans="1:3">
      <c r="A314" s="27"/>
      <c r="B314" s="26"/>
      <c r="C314" s="26"/>
    </row>
    <row r="315" spans="1:3">
      <c r="A315" s="27"/>
      <c r="B315" s="26"/>
      <c r="C315" s="26"/>
    </row>
    <row r="316" spans="1:3">
      <c r="A316" s="27"/>
      <c r="B316" s="26"/>
      <c r="C316" s="26"/>
    </row>
    <row r="317" spans="1:3">
      <c r="A317" s="27"/>
      <c r="B317" s="26"/>
      <c r="C317" s="26"/>
    </row>
    <row r="318" spans="1:3">
      <c r="A318" s="27"/>
      <c r="B318" s="26"/>
      <c r="C318" s="26"/>
    </row>
    <row r="319" spans="1:3">
      <c r="A319" s="27"/>
      <c r="B319" s="26"/>
      <c r="C319" s="26"/>
    </row>
    <row r="320" spans="1:3">
      <c r="A320" s="27"/>
      <c r="B320" s="26"/>
      <c r="C320" s="26"/>
    </row>
    <row r="321" spans="1:3">
      <c r="A321" s="27"/>
      <c r="B321" s="26"/>
      <c r="C321" s="26"/>
    </row>
    <row r="322" spans="1:3">
      <c r="A322" s="27"/>
      <c r="B322" s="26"/>
      <c r="C322" s="26"/>
    </row>
    <row r="323" spans="1:3">
      <c r="A323" s="27"/>
      <c r="B323" s="26"/>
      <c r="C323" s="26"/>
    </row>
    <row r="324" spans="1:3">
      <c r="A324" s="27"/>
      <c r="B324" s="26"/>
      <c r="C324" s="26"/>
    </row>
    <row r="325" spans="1:3">
      <c r="A325" s="27"/>
      <c r="B325" s="26"/>
      <c r="C325" s="26"/>
    </row>
    <row r="326" spans="1:3">
      <c r="A326" s="27"/>
      <c r="B326" s="26"/>
      <c r="C326" s="26"/>
    </row>
    <row r="327" spans="1:3">
      <c r="A327" s="27"/>
      <c r="B327" s="26"/>
      <c r="C327" s="26"/>
    </row>
    <row r="328" spans="1:3">
      <c r="A328" s="27"/>
      <c r="B328" s="26"/>
      <c r="C328" s="26"/>
    </row>
    <row r="329" spans="1:3">
      <c r="A329" s="27"/>
      <c r="B329" s="26"/>
      <c r="C329" s="26"/>
    </row>
    <row r="330" spans="1:3">
      <c r="A330" s="27"/>
      <c r="B330" s="26"/>
      <c r="C330" s="26"/>
    </row>
    <row r="331" spans="1:3">
      <c r="A331" s="27"/>
      <c r="B331" s="26"/>
      <c r="C331" s="26"/>
    </row>
    <row r="332" spans="1:3">
      <c r="A332" s="27"/>
      <c r="B332" s="26"/>
      <c r="C332" s="26"/>
    </row>
    <row r="333" spans="1:3">
      <c r="A333" s="27"/>
      <c r="B333" s="26"/>
      <c r="C333" s="26"/>
    </row>
    <row r="334" spans="1:3">
      <c r="A334" s="27"/>
      <c r="B334" s="26"/>
      <c r="C334" s="26"/>
    </row>
    <row r="335" spans="1:3">
      <c r="A335" s="27"/>
      <c r="B335" s="26"/>
      <c r="C335" s="26"/>
    </row>
    <row r="336" spans="1:3">
      <c r="A336" s="27"/>
      <c r="B336" s="26"/>
      <c r="C336" s="26"/>
    </row>
    <row r="337" spans="1:3">
      <c r="A337" s="27"/>
      <c r="B337" s="26"/>
      <c r="C337" s="26"/>
    </row>
    <row r="338" spans="1:3">
      <c r="A338" s="27"/>
      <c r="B338" s="26"/>
      <c r="C338" s="26"/>
    </row>
    <row r="339" spans="1:3">
      <c r="A339" s="27"/>
      <c r="B339" s="26"/>
      <c r="C339" s="26"/>
    </row>
    <row r="340" spans="1:3">
      <c r="A340" s="27"/>
      <c r="B340" s="26"/>
      <c r="C340" s="26"/>
    </row>
    <row r="341" spans="1:3">
      <c r="A341" s="27"/>
      <c r="B341" s="26"/>
      <c r="C341" s="26"/>
    </row>
    <row r="342" spans="1:3">
      <c r="A342" s="27"/>
      <c r="B342" s="26"/>
      <c r="C342" s="26"/>
    </row>
    <row r="343" spans="1:3">
      <c r="A343" s="27"/>
      <c r="B343" s="26"/>
      <c r="C343" s="26"/>
    </row>
    <row r="344" spans="1:3">
      <c r="A344" s="27"/>
      <c r="B344" s="26"/>
      <c r="C344" s="26"/>
    </row>
    <row r="345" spans="1:3">
      <c r="A345" s="27"/>
      <c r="B345" s="26"/>
      <c r="C345" s="26"/>
    </row>
    <row r="346" spans="1:3">
      <c r="A346" s="27"/>
      <c r="B346" s="26"/>
      <c r="C346" s="26"/>
    </row>
    <row r="347" spans="1:3">
      <c r="A347" s="27"/>
      <c r="B347" s="26"/>
      <c r="C347" s="26"/>
    </row>
    <row r="348" spans="1:3">
      <c r="A348" s="27"/>
      <c r="B348" s="26"/>
      <c r="C348" s="26"/>
    </row>
    <row r="349" spans="1:3">
      <c r="A349" s="27"/>
      <c r="B349" s="26"/>
      <c r="C349" s="26"/>
    </row>
    <row r="350" spans="1:3">
      <c r="A350" s="27"/>
      <c r="B350" s="26"/>
      <c r="C350" s="26"/>
    </row>
    <row r="351" spans="1:3">
      <c r="A351" s="27"/>
      <c r="B351" s="26"/>
      <c r="C351" s="26"/>
    </row>
    <row r="352" spans="1:3">
      <c r="A352" s="27"/>
      <c r="B352" s="26"/>
      <c r="C352" s="26"/>
    </row>
    <row r="353" spans="1:3">
      <c r="A353" s="27"/>
      <c r="B353" s="26"/>
      <c r="C353" s="26"/>
    </row>
    <row r="354" spans="1:3">
      <c r="A354" s="27"/>
      <c r="B354" s="26"/>
      <c r="C354" s="26"/>
    </row>
    <row r="355" spans="1:3">
      <c r="A355" s="27"/>
      <c r="B355" s="26"/>
      <c r="C355" s="26"/>
    </row>
    <row r="356" spans="1:3">
      <c r="A356" s="27"/>
      <c r="B356" s="26"/>
      <c r="C356" s="26"/>
    </row>
    <row r="357" spans="1:3">
      <c r="A357" s="27"/>
      <c r="B357" s="26"/>
      <c r="C357" s="26"/>
    </row>
    <row r="358" spans="1:3">
      <c r="A358" s="27"/>
      <c r="B358" s="26"/>
      <c r="C358" s="26"/>
    </row>
    <row r="359" spans="1:3">
      <c r="A359" s="27"/>
      <c r="B359" s="26"/>
      <c r="C359" s="26"/>
    </row>
    <row r="360" spans="1:3">
      <c r="A360" s="27"/>
      <c r="B360" s="26"/>
      <c r="C360" s="26"/>
    </row>
    <row r="361" spans="1:3">
      <c r="A361" s="27"/>
      <c r="B361" s="26"/>
      <c r="C361" s="26"/>
    </row>
    <row r="362" spans="1:3">
      <c r="A362" s="27"/>
      <c r="B362" s="26"/>
      <c r="C362" s="26"/>
    </row>
    <row r="363" spans="1:3">
      <c r="A363" s="27"/>
      <c r="B363" s="26"/>
      <c r="C363" s="26"/>
    </row>
    <row r="364" spans="1:3">
      <c r="A364" s="27"/>
      <c r="B364" s="26"/>
      <c r="C364" s="26"/>
    </row>
    <row r="365" spans="1:3">
      <c r="A365" s="27"/>
      <c r="B365" s="26"/>
      <c r="C365" s="26"/>
    </row>
    <row r="366" spans="1:3">
      <c r="A366" s="27"/>
      <c r="B366" s="26"/>
      <c r="C366" s="26"/>
    </row>
    <row r="367" spans="1:3">
      <c r="A367" s="27"/>
      <c r="B367" s="26"/>
      <c r="C367" s="26"/>
    </row>
    <row r="368" spans="1:3">
      <c r="A368" s="27"/>
      <c r="B368" s="26"/>
      <c r="C368" s="26"/>
    </row>
    <row r="369" spans="1:3">
      <c r="A369" s="27"/>
      <c r="B369" s="26"/>
      <c r="C369" s="26"/>
    </row>
    <row r="370" spans="1:3">
      <c r="A370" s="27"/>
      <c r="B370" s="26"/>
      <c r="C370" s="26"/>
    </row>
    <row r="371" spans="1:3">
      <c r="A371" s="27"/>
      <c r="B371" s="26"/>
      <c r="C371" s="26"/>
    </row>
    <row r="372" spans="1:3">
      <c r="A372" s="27"/>
      <c r="B372" s="26"/>
      <c r="C372" s="26"/>
    </row>
    <row r="373" spans="1:3">
      <c r="A373" s="27"/>
      <c r="B373" s="26"/>
      <c r="C373" s="26"/>
    </row>
    <row r="374" spans="1:3">
      <c r="A374" s="27"/>
      <c r="B374" s="26"/>
      <c r="C374" s="26"/>
    </row>
    <row r="375" spans="1:3">
      <c r="A375" s="27"/>
      <c r="B375" s="26"/>
      <c r="C375" s="26"/>
    </row>
    <row r="376" spans="1:3">
      <c r="A376" s="27"/>
      <c r="B376" s="26"/>
      <c r="C376" s="26"/>
    </row>
    <row r="377" spans="1:3">
      <c r="A377" s="27"/>
      <c r="B377" s="26"/>
      <c r="C377" s="26"/>
    </row>
    <row r="378" spans="1:3">
      <c r="A378" s="27"/>
      <c r="B378" s="26"/>
      <c r="C378" s="26"/>
    </row>
    <row r="379" spans="1:3">
      <c r="A379" s="27"/>
      <c r="B379" s="26"/>
      <c r="C379" s="26"/>
    </row>
    <row r="380" spans="1:3">
      <c r="A380" s="27"/>
      <c r="B380" s="26"/>
      <c r="C380" s="26"/>
    </row>
    <row r="381" spans="1:3">
      <c r="A381" s="27"/>
      <c r="B381" s="26"/>
      <c r="C381" s="26"/>
    </row>
    <row r="382" spans="1:3">
      <c r="A382" s="27"/>
      <c r="B382" s="26"/>
      <c r="C382" s="26"/>
    </row>
    <row r="383" spans="1:3">
      <c r="A383" s="27"/>
      <c r="B383" s="26"/>
      <c r="C383" s="26"/>
    </row>
    <row r="384" spans="1:3">
      <c r="A384" s="27"/>
      <c r="B384" s="26"/>
      <c r="C384" s="26"/>
    </row>
    <row r="385" spans="1:3">
      <c r="A385" s="27"/>
      <c r="B385" s="26"/>
      <c r="C385" s="26"/>
    </row>
    <row r="386" spans="1:3">
      <c r="A386" s="27"/>
      <c r="B386" s="26"/>
      <c r="C386" s="26"/>
    </row>
    <row r="387" spans="1:3">
      <c r="A387" s="27"/>
      <c r="B387" s="26"/>
      <c r="C387" s="26"/>
    </row>
    <row r="388" spans="1:3">
      <c r="A388" s="27"/>
      <c r="B388" s="26"/>
      <c r="C388" s="26"/>
    </row>
    <row r="389" spans="1:3">
      <c r="A389" s="27"/>
      <c r="B389" s="26"/>
      <c r="C389" s="26"/>
    </row>
    <row r="390" spans="1:3">
      <c r="A390" s="27"/>
      <c r="B390" s="26"/>
      <c r="C390" s="26"/>
    </row>
    <row r="391" spans="1:3">
      <c r="A391" s="27"/>
      <c r="B391" s="26"/>
      <c r="C391" s="26"/>
    </row>
    <row r="392" spans="1:3">
      <c r="A392" s="27"/>
      <c r="B392" s="26"/>
      <c r="C392" s="26"/>
    </row>
    <row r="393" spans="1:3">
      <c r="A393" s="27"/>
      <c r="B393" s="26"/>
      <c r="C393" s="26"/>
    </row>
    <row r="394" spans="1:3">
      <c r="A394" s="27"/>
      <c r="B394" s="26"/>
      <c r="C394" s="26"/>
    </row>
    <row r="395" spans="1:3">
      <c r="A395" s="27"/>
      <c r="B395" s="26"/>
      <c r="C395" s="26"/>
    </row>
    <row r="396" spans="1:3">
      <c r="A396" s="27"/>
      <c r="B396" s="26"/>
      <c r="C396" s="26"/>
    </row>
    <row r="397" spans="1:3">
      <c r="A397" s="27"/>
      <c r="B397" s="26"/>
      <c r="C397" s="26"/>
    </row>
    <row r="398" spans="1:3">
      <c r="A398" s="27"/>
      <c r="B398" s="26"/>
      <c r="C398" s="26"/>
    </row>
    <row r="399" spans="1:3">
      <c r="A399" s="27"/>
      <c r="B399" s="26"/>
      <c r="C399" s="26"/>
    </row>
    <row r="400" spans="1:3">
      <c r="A400" s="27"/>
      <c r="B400" s="26"/>
      <c r="C400" s="26"/>
    </row>
    <row r="401" spans="1:3">
      <c r="A401" s="27"/>
      <c r="B401" s="26"/>
      <c r="C401" s="26"/>
    </row>
    <row r="402" spans="1:3">
      <c r="A402" s="27"/>
      <c r="B402" s="26"/>
      <c r="C402" s="26"/>
    </row>
    <row r="403" spans="1:3">
      <c r="A403" s="27"/>
      <c r="B403" s="26"/>
      <c r="C403" s="26"/>
    </row>
    <row r="404" spans="1:3">
      <c r="A404" s="27"/>
      <c r="B404" s="26"/>
      <c r="C404" s="26"/>
    </row>
    <row r="405" spans="1:3">
      <c r="A405" s="27"/>
      <c r="B405" s="26"/>
      <c r="C405" s="26"/>
    </row>
    <row r="406" spans="1:3">
      <c r="A406" s="27"/>
      <c r="B406" s="26"/>
      <c r="C406" s="26"/>
    </row>
    <row r="407" spans="1:3">
      <c r="A407" s="27"/>
      <c r="B407" s="26"/>
      <c r="C407" s="26"/>
    </row>
    <row r="408" spans="1:3">
      <c r="A408" s="27"/>
      <c r="B408" s="26"/>
      <c r="C408" s="26"/>
    </row>
    <row r="409" spans="1:3">
      <c r="A409" s="27"/>
      <c r="B409" s="26"/>
      <c r="C409" s="26"/>
    </row>
    <row r="410" spans="1:3">
      <c r="A410" s="27"/>
      <c r="B410" s="26"/>
      <c r="C410" s="26"/>
    </row>
    <row r="411" spans="1:3">
      <c r="A411" s="27"/>
      <c r="B411" s="26"/>
      <c r="C411" s="26"/>
    </row>
    <row r="412" spans="1:3">
      <c r="A412" s="27"/>
      <c r="B412" s="26"/>
      <c r="C412" s="26"/>
    </row>
    <row r="413" spans="1:3">
      <c r="A413" s="27"/>
      <c r="B413" s="26"/>
      <c r="C413" s="26"/>
    </row>
    <row r="414" spans="1:3">
      <c r="A414" s="27"/>
      <c r="B414" s="26"/>
      <c r="C414" s="26"/>
    </row>
    <row r="415" spans="1:3">
      <c r="A415" s="27"/>
      <c r="B415" s="26"/>
      <c r="C415" s="26"/>
    </row>
    <row r="416" spans="1:3">
      <c r="A416" s="27"/>
      <c r="B416" s="26"/>
      <c r="C416" s="26"/>
    </row>
    <row r="417" spans="1:3">
      <c r="A417" s="27"/>
      <c r="B417" s="26"/>
      <c r="C417" s="26"/>
    </row>
    <row r="418" spans="1:3">
      <c r="A418" s="27"/>
      <c r="B418" s="26"/>
      <c r="C418" s="26"/>
    </row>
    <row r="419" spans="1:3">
      <c r="A419" s="27"/>
      <c r="B419" s="26"/>
      <c r="C419" s="26"/>
    </row>
    <row r="420" spans="1:3">
      <c r="A420" s="27"/>
      <c r="B420" s="26"/>
      <c r="C420" s="26"/>
    </row>
    <row r="421" spans="1:3">
      <c r="A421" s="27"/>
      <c r="B421" s="26"/>
      <c r="C421" s="26"/>
    </row>
    <row r="422" spans="1:3">
      <c r="A422" s="27"/>
      <c r="B422" s="26"/>
      <c r="C422" s="26"/>
    </row>
    <row r="423" spans="1:3">
      <c r="A423" s="27"/>
      <c r="B423" s="26"/>
      <c r="C423" s="26"/>
    </row>
    <row r="424" spans="1:3">
      <c r="A424" s="27"/>
      <c r="B424" s="26"/>
      <c r="C424" s="26"/>
    </row>
    <row r="425" spans="1:3">
      <c r="A425" s="27"/>
      <c r="B425" s="26"/>
      <c r="C425" s="26"/>
    </row>
    <row r="426" spans="1:3">
      <c r="A426" s="27"/>
      <c r="B426" s="26"/>
      <c r="C426" s="26"/>
    </row>
    <row r="427" spans="1:3">
      <c r="A427" s="27"/>
      <c r="B427" s="26"/>
      <c r="C427" s="26"/>
    </row>
    <row r="428" spans="1:3">
      <c r="A428" s="27"/>
      <c r="B428" s="26"/>
      <c r="C428" s="26"/>
    </row>
    <row r="429" spans="1:3">
      <c r="A429" s="27"/>
      <c r="B429" s="26"/>
      <c r="C429" s="26"/>
    </row>
    <row r="430" spans="1:3">
      <c r="A430" s="27"/>
      <c r="B430" s="26"/>
      <c r="C430" s="26"/>
    </row>
    <row r="431" spans="1:3">
      <c r="A431" s="27"/>
      <c r="B431" s="26"/>
      <c r="C431" s="26"/>
    </row>
    <row r="432" spans="1:3">
      <c r="A432" s="27"/>
      <c r="B432" s="26"/>
      <c r="C432" s="26"/>
    </row>
    <row r="433" spans="1:3">
      <c r="A433" s="27"/>
      <c r="B433" s="26"/>
      <c r="C433" s="26"/>
    </row>
    <row r="434" spans="1:3">
      <c r="A434" s="27"/>
      <c r="B434" s="26"/>
      <c r="C434" s="26"/>
    </row>
    <row r="435" spans="1:3">
      <c r="A435" s="27"/>
      <c r="B435" s="26"/>
      <c r="C435" s="26"/>
    </row>
    <row r="436" spans="1:3">
      <c r="A436" s="27"/>
      <c r="B436" s="26"/>
      <c r="C436" s="26"/>
    </row>
    <row r="437" spans="1:3">
      <c r="A437" s="27"/>
      <c r="B437" s="26"/>
      <c r="C437" s="26"/>
    </row>
    <row r="438" spans="1:3">
      <c r="A438" s="27"/>
      <c r="B438" s="26"/>
      <c r="C438" s="26"/>
    </row>
    <row r="439" spans="1:3">
      <c r="A439" s="27"/>
      <c r="B439" s="26"/>
      <c r="C439" s="26"/>
    </row>
    <row r="440" spans="1:3">
      <c r="A440" s="27"/>
      <c r="B440" s="26"/>
      <c r="C440" s="26"/>
    </row>
    <row r="441" spans="1:3">
      <c r="A441" s="27"/>
      <c r="B441" s="26"/>
      <c r="C441" s="26"/>
    </row>
    <row r="442" spans="1:3">
      <c r="A442" s="27"/>
      <c r="B442" s="26"/>
      <c r="C442" s="26"/>
    </row>
    <row r="443" spans="1:3">
      <c r="A443" s="27"/>
      <c r="B443" s="26"/>
      <c r="C443" s="26"/>
    </row>
    <row r="444" spans="1:3">
      <c r="A444" s="27"/>
      <c r="B444" s="26"/>
      <c r="C444" s="26"/>
    </row>
    <row r="445" spans="1:3">
      <c r="A445" s="27"/>
      <c r="B445" s="26"/>
      <c r="C445" s="26"/>
    </row>
    <row r="446" spans="1:3">
      <c r="A446" s="27"/>
      <c r="B446" s="26"/>
      <c r="C446" s="26"/>
    </row>
    <row r="447" spans="1:3">
      <c r="A447" s="27"/>
      <c r="B447" s="26"/>
      <c r="C447" s="26"/>
    </row>
    <row r="448" spans="1:3">
      <c r="A448" s="27"/>
      <c r="B448" s="26"/>
      <c r="C448" s="26"/>
    </row>
    <row r="449" spans="1:3">
      <c r="A449" s="27"/>
      <c r="B449" s="26"/>
      <c r="C449" s="26"/>
    </row>
    <row r="450" spans="1:3">
      <c r="A450" s="27"/>
      <c r="B450" s="26"/>
      <c r="C450" s="26"/>
    </row>
    <row r="451" spans="1:3">
      <c r="A451" s="27"/>
      <c r="B451" s="26"/>
      <c r="C451" s="26"/>
    </row>
    <row r="452" spans="1:3">
      <c r="A452" s="27"/>
      <c r="B452" s="26"/>
      <c r="C452" s="26"/>
    </row>
    <row r="453" spans="1:3">
      <c r="A453" s="27"/>
      <c r="B453" s="26"/>
      <c r="C453" s="26"/>
    </row>
    <row r="454" spans="1:3">
      <c r="A454" s="27"/>
      <c r="B454" s="26"/>
      <c r="C454" s="26"/>
    </row>
    <row r="455" spans="1:3">
      <c r="A455" s="27"/>
      <c r="B455" s="26"/>
      <c r="C455" s="26"/>
    </row>
    <row r="456" spans="1:3">
      <c r="A456" s="27"/>
      <c r="B456" s="26"/>
      <c r="C456" s="26"/>
    </row>
    <row r="457" spans="1:3">
      <c r="A457" s="27"/>
      <c r="B457" s="26"/>
      <c r="C457" s="26"/>
    </row>
    <row r="458" spans="1:3">
      <c r="A458" s="27"/>
      <c r="B458" s="26"/>
      <c r="C458" s="26"/>
    </row>
    <row r="459" spans="1:3">
      <c r="A459" s="27"/>
      <c r="B459" s="26"/>
      <c r="C459" s="26"/>
    </row>
    <row r="460" spans="1:3">
      <c r="A460" s="27"/>
      <c r="B460" s="26"/>
      <c r="C460" s="26"/>
    </row>
    <row r="461" spans="1:3">
      <c r="A461" s="27"/>
      <c r="B461" s="26"/>
      <c r="C461" s="26"/>
    </row>
    <row r="462" spans="1:3">
      <c r="A462" s="27"/>
      <c r="B462" s="26"/>
      <c r="C462" s="26"/>
    </row>
    <row r="463" spans="1:3">
      <c r="A463" s="27"/>
      <c r="B463" s="26"/>
      <c r="C463" s="26"/>
    </row>
    <row r="464" spans="1:3">
      <c r="A464" s="27"/>
      <c r="B464" s="26"/>
      <c r="C464" s="26"/>
    </row>
    <row r="465" spans="1:3">
      <c r="A465" s="27"/>
      <c r="B465" s="26"/>
      <c r="C465" s="26"/>
    </row>
    <row r="466" spans="1:3">
      <c r="A466" s="27"/>
      <c r="B466" s="26"/>
      <c r="C466" s="26"/>
    </row>
    <row r="467" spans="1:3">
      <c r="A467" s="27"/>
      <c r="B467" s="26"/>
      <c r="C467" s="26"/>
    </row>
    <row r="468" spans="1:3">
      <c r="A468" s="27"/>
      <c r="B468" s="26"/>
      <c r="C468" s="26"/>
    </row>
    <row r="469" spans="1:3">
      <c r="A469" s="27"/>
      <c r="B469" s="26"/>
      <c r="C469" s="26"/>
    </row>
    <row r="470" spans="1:3">
      <c r="A470" s="27"/>
      <c r="B470" s="26"/>
      <c r="C470" s="26"/>
    </row>
    <row r="471" spans="1:3">
      <c r="A471" s="27"/>
      <c r="B471" s="26"/>
      <c r="C471" s="26"/>
    </row>
    <row r="472" spans="1:3">
      <c r="A472" s="27"/>
      <c r="B472" s="26"/>
      <c r="C472" s="26"/>
    </row>
    <row r="473" spans="1:3">
      <c r="A473" s="27"/>
      <c r="B473" s="26"/>
      <c r="C473" s="26"/>
    </row>
    <row r="474" spans="1:3">
      <c r="A474" s="27"/>
      <c r="B474" s="26"/>
      <c r="C474" s="26"/>
    </row>
    <row r="475" spans="1:3">
      <c r="A475" s="27"/>
      <c r="B475" s="26"/>
      <c r="C475" s="26"/>
    </row>
    <row r="476" spans="1:3">
      <c r="A476" s="27"/>
      <c r="B476" s="26"/>
      <c r="C476" s="26"/>
    </row>
    <row r="477" spans="1:3">
      <c r="A477" s="27"/>
      <c r="B477" s="26"/>
      <c r="C477" s="26"/>
    </row>
    <row r="478" spans="1:3">
      <c r="A478" s="27"/>
      <c r="B478" s="26"/>
      <c r="C478" s="26"/>
    </row>
    <row r="479" spans="1:3">
      <c r="A479" s="27"/>
      <c r="B479" s="26"/>
      <c r="C479" s="26"/>
    </row>
    <row r="480" spans="1:3">
      <c r="A480" s="27"/>
      <c r="B480" s="26"/>
      <c r="C480" s="26"/>
    </row>
    <row r="481" spans="1:3">
      <c r="A481" s="27"/>
      <c r="B481" s="26"/>
      <c r="C481" s="26"/>
    </row>
    <row r="482" spans="1:3">
      <c r="A482" s="27"/>
      <c r="B482" s="26"/>
      <c r="C482" s="26"/>
    </row>
    <row r="483" spans="1:3">
      <c r="A483" s="27"/>
      <c r="B483" s="26"/>
      <c r="C483" s="26"/>
    </row>
    <row r="484" spans="1:3">
      <c r="A484" s="27"/>
      <c r="B484" s="26"/>
      <c r="C484" s="26"/>
    </row>
    <row r="485" spans="1:3">
      <c r="A485" s="27"/>
      <c r="B485" s="26"/>
      <c r="C485" s="26"/>
    </row>
    <row r="486" spans="1:3">
      <c r="A486" s="27"/>
      <c r="B486" s="26"/>
      <c r="C486" s="26"/>
    </row>
    <row r="487" spans="1:3">
      <c r="A487" s="27"/>
      <c r="B487" s="26"/>
      <c r="C487" s="26"/>
    </row>
    <row r="488" spans="1:3">
      <c r="A488" s="27"/>
      <c r="B488" s="26"/>
      <c r="C488" s="26"/>
    </row>
    <row r="489" spans="1:3">
      <c r="A489" s="27"/>
      <c r="B489" s="26"/>
      <c r="C489" s="26"/>
    </row>
    <row r="490" spans="1:3">
      <c r="A490" s="27"/>
      <c r="B490" s="26"/>
      <c r="C490" s="26"/>
    </row>
    <row r="491" spans="1:3">
      <c r="A491" s="27"/>
      <c r="B491" s="26"/>
      <c r="C491" s="26"/>
    </row>
    <row r="492" spans="1:3">
      <c r="A492" s="27"/>
      <c r="B492" s="26"/>
      <c r="C492" s="26"/>
    </row>
    <row r="493" spans="1:3">
      <c r="A493" s="27"/>
      <c r="B493" s="26"/>
      <c r="C493" s="26"/>
    </row>
    <row r="494" spans="1:3">
      <c r="A494" s="27"/>
      <c r="B494" s="26"/>
      <c r="C494" s="26"/>
    </row>
    <row r="495" spans="1:3">
      <c r="A495" s="27"/>
      <c r="B495" s="26"/>
      <c r="C495" s="26"/>
    </row>
    <row r="496" spans="1:3">
      <c r="A496" s="27"/>
      <c r="B496" s="26"/>
      <c r="C496" s="26"/>
    </row>
    <row r="497" spans="1:3">
      <c r="A497" s="27"/>
      <c r="B497" s="26"/>
      <c r="C497" s="26"/>
    </row>
    <row r="498" spans="1:3">
      <c r="A498" s="27"/>
      <c r="B498" s="26"/>
      <c r="C498" s="26"/>
    </row>
    <row r="499" spans="1:3">
      <c r="A499" s="27"/>
      <c r="B499" s="26"/>
      <c r="C499" s="26"/>
    </row>
    <row r="500" spans="1:3">
      <c r="A500" s="27"/>
      <c r="B500" s="26"/>
      <c r="C500" s="26"/>
    </row>
    <row r="501" spans="1:3">
      <c r="A501" s="27"/>
      <c r="B501" s="26"/>
      <c r="C501" s="26"/>
    </row>
    <row r="502" spans="1:3">
      <c r="A502" s="27"/>
      <c r="B502" s="26"/>
      <c r="C502" s="26"/>
    </row>
    <row r="503" spans="1:3">
      <c r="A503" s="27"/>
      <c r="B503" s="26"/>
      <c r="C503" s="26"/>
    </row>
    <row r="504" spans="1:3">
      <c r="A504" s="27"/>
      <c r="B504" s="26"/>
      <c r="C504" s="26"/>
    </row>
    <row r="505" spans="1:3">
      <c r="A505" s="27"/>
      <c r="B505" s="26"/>
      <c r="C505" s="26"/>
    </row>
    <row r="506" spans="1:3">
      <c r="A506" s="27"/>
      <c r="B506" s="26"/>
      <c r="C506" s="26"/>
    </row>
    <row r="507" spans="1:3">
      <c r="A507" s="27"/>
      <c r="B507" s="26"/>
      <c r="C507" s="26"/>
    </row>
    <row r="508" spans="1:3">
      <c r="A508" s="27"/>
      <c r="B508" s="26"/>
      <c r="C508" s="26"/>
    </row>
    <row r="509" spans="1:3">
      <c r="A509" s="27"/>
      <c r="B509" s="26"/>
      <c r="C509" s="26"/>
    </row>
    <row r="510" spans="1:3">
      <c r="A510" s="27"/>
      <c r="B510" s="26"/>
      <c r="C510" s="26"/>
    </row>
    <row r="511" spans="1:3">
      <c r="A511" s="27"/>
      <c r="B511" s="26"/>
      <c r="C511" s="26"/>
    </row>
    <row r="512" spans="1:3">
      <c r="A512" s="27"/>
      <c r="B512" s="26"/>
      <c r="C512" s="26"/>
    </row>
    <row r="513" spans="1:3">
      <c r="A513" s="27"/>
      <c r="B513" s="26"/>
      <c r="C513" s="26"/>
    </row>
    <row r="514" spans="1:3">
      <c r="A514" s="27"/>
      <c r="B514" s="26"/>
      <c r="C514" s="26"/>
    </row>
    <row r="515" spans="1:3">
      <c r="A515" s="27"/>
      <c r="B515" s="26"/>
      <c r="C515" s="26"/>
    </row>
    <row r="516" spans="1:3">
      <c r="A516" s="27"/>
      <c r="B516" s="26"/>
      <c r="C516" s="26"/>
    </row>
    <row r="517" spans="1:3">
      <c r="A517" s="27"/>
      <c r="B517" s="26"/>
      <c r="C517" s="26"/>
    </row>
    <row r="518" spans="1:3">
      <c r="A518" s="27"/>
      <c r="B518" s="26"/>
      <c r="C518" s="26"/>
    </row>
    <row r="519" spans="1:3">
      <c r="A519" s="27"/>
      <c r="B519" s="26"/>
      <c r="C519" s="26"/>
    </row>
    <row r="520" spans="1:3">
      <c r="A520" s="27"/>
      <c r="B520" s="26"/>
      <c r="C520" s="26"/>
    </row>
    <row r="521" spans="1:3">
      <c r="A521" s="27"/>
      <c r="B521" s="26"/>
      <c r="C521" s="26"/>
    </row>
    <row r="522" spans="1:3">
      <c r="A522" s="27"/>
      <c r="B522" s="26"/>
      <c r="C522" s="26"/>
    </row>
    <row r="523" spans="1:3">
      <c r="A523" s="27"/>
      <c r="B523" s="26"/>
      <c r="C523" s="26"/>
    </row>
    <row r="524" spans="1:3">
      <c r="A524" s="27"/>
      <c r="B524" s="26"/>
      <c r="C524" s="26"/>
    </row>
    <row r="525" spans="1:3">
      <c r="A525" s="27"/>
      <c r="B525" s="26"/>
      <c r="C525" s="26"/>
    </row>
    <row r="526" spans="1:3">
      <c r="A526" s="27"/>
      <c r="B526" s="26"/>
      <c r="C526" s="26"/>
    </row>
    <row r="527" spans="1:3">
      <c r="A527" s="27"/>
      <c r="B527" s="26"/>
      <c r="C527" s="26"/>
    </row>
    <row r="528" spans="1:3">
      <c r="A528" s="27"/>
      <c r="B528" s="26"/>
      <c r="C528" s="26"/>
    </row>
    <row r="529" spans="1:3">
      <c r="A529" s="27"/>
      <c r="B529" s="26"/>
      <c r="C529" s="26"/>
    </row>
    <row r="530" spans="1:3">
      <c r="A530" s="27"/>
      <c r="B530" s="26"/>
      <c r="C530" s="26"/>
    </row>
    <row r="531" spans="1:3">
      <c r="A531" s="27"/>
      <c r="B531" s="26"/>
      <c r="C531" s="26"/>
    </row>
    <row r="532" spans="1:3">
      <c r="A532" s="27"/>
      <c r="B532" s="26"/>
      <c r="C532" s="26"/>
    </row>
    <row r="533" spans="1:3">
      <c r="A533" s="27"/>
      <c r="B533" s="26"/>
      <c r="C533" s="26"/>
    </row>
    <row r="534" spans="1:3">
      <c r="A534" s="27"/>
      <c r="B534" s="26"/>
      <c r="C534" s="26"/>
    </row>
    <row r="535" spans="1:3">
      <c r="A535" s="27"/>
      <c r="B535" s="26"/>
      <c r="C535" s="26"/>
    </row>
    <row r="536" spans="1:3">
      <c r="A536" s="27"/>
      <c r="B536" s="26"/>
      <c r="C536" s="26"/>
    </row>
    <row r="537" spans="1:3">
      <c r="A537" s="27"/>
      <c r="B537" s="26"/>
      <c r="C537" s="26"/>
    </row>
    <row r="538" spans="1:3">
      <c r="A538" s="27"/>
      <c r="B538" s="26"/>
      <c r="C538" s="26"/>
    </row>
    <row r="539" spans="1:3">
      <c r="A539" s="27"/>
      <c r="B539" s="26"/>
      <c r="C539" s="26"/>
    </row>
    <row r="540" spans="1:3">
      <c r="A540" s="27"/>
      <c r="B540" s="26"/>
      <c r="C540" s="26"/>
    </row>
    <row r="541" spans="1:3">
      <c r="A541" s="27"/>
      <c r="B541" s="26"/>
      <c r="C541" s="26"/>
    </row>
    <row r="542" spans="1:3">
      <c r="A542" s="27"/>
      <c r="B542" s="26"/>
      <c r="C542" s="26"/>
    </row>
    <row r="543" spans="1:3">
      <c r="A543" s="27"/>
      <c r="B543" s="26"/>
      <c r="C543" s="26"/>
    </row>
    <row r="544" spans="1:3">
      <c r="A544" s="27"/>
      <c r="B544" s="26"/>
      <c r="C544" s="26"/>
    </row>
    <row r="545" spans="1:3">
      <c r="A545" s="27"/>
      <c r="B545" s="26"/>
      <c r="C545" s="26"/>
    </row>
    <row r="546" spans="1:3">
      <c r="A546" s="27"/>
      <c r="B546" s="26"/>
      <c r="C546" s="26"/>
    </row>
    <row r="547" spans="1:3">
      <c r="A547" s="27"/>
      <c r="B547" s="26"/>
      <c r="C547" s="26"/>
    </row>
    <row r="548" spans="1:3">
      <c r="A548" s="27"/>
      <c r="B548" s="26"/>
      <c r="C548" s="26"/>
    </row>
    <row r="549" spans="1:3">
      <c r="A549" s="27"/>
      <c r="B549" s="26"/>
      <c r="C549" s="26"/>
    </row>
    <row r="550" spans="1:3">
      <c r="A550" s="27"/>
      <c r="B550" s="26"/>
      <c r="C550" s="26"/>
    </row>
    <row r="551" spans="1:3">
      <c r="A551" s="27"/>
      <c r="B551" s="26"/>
      <c r="C551" s="26"/>
    </row>
    <row r="552" spans="1:3">
      <c r="A552" s="27"/>
      <c r="B552" s="26"/>
      <c r="C552" s="26"/>
    </row>
    <row r="553" spans="1:3">
      <c r="A553" s="27"/>
      <c r="B553" s="26"/>
      <c r="C553" s="26"/>
    </row>
    <row r="554" spans="1:3">
      <c r="A554" s="27"/>
      <c r="B554" s="26"/>
      <c r="C554" s="26"/>
    </row>
    <row r="555" spans="1:3">
      <c r="A555" s="27"/>
      <c r="B555" s="26"/>
      <c r="C555" s="26"/>
    </row>
    <row r="556" spans="1:3">
      <c r="A556" s="27"/>
      <c r="B556" s="26"/>
      <c r="C556" s="26"/>
    </row>
    <row r="557" spans="1:3">
      <c r="A557" s="27"/>
      <c r="B557" s="26"/>
      <c r="C557" s="26"/>
    </row>
    <row r="558" spans="1:3">
      <c r="A558" s="27"/>
      <c r="B558" s="26"/>
      <c r="C558" s="26"/>
    </row>
    <row r="559" spans="1:3">
      <c r="A559" s="27"/>
      <c r="B559" s="26"/>
      <c r="C559" s="26"/>
    </row>
    <row r="560" spans="1:3">
      <c r="A560" s="27"/>
      <c r="B560" s="26"/>
      <c r="C560" s="26"/>
    </row>
    <row r="561" spans="1:3">
      <c r="A561" s="27"/>
      <c r="B561" s="26"/>
      <c r="C561" s="26"/>
    </row>
    <row r="562" spans="1:3">
      <c r="A562" s="27"/>
      <c r="B562" s="26"/>
      <c r="C562" s="26"/>
    </row>
    <row r="563" spans="1:3">
      <c r="A563" s="27"/>
      <c r="B563" s="26"/>
      <c r="C563" s="26"/>
    </row>
    <row r="564" spans="1:3">
      <c r="A564" s="27"/>
      <c r="B564" s="26"/>
      <c r="C564" s="26"/>
    </row>
    <row r="565" spans="1:3">
      <c r="A565" s="27"/>
      <c r="B565" s="26"/>
      <c r="C565" s="26"/>
    </row>
    <row r="566" spans="1:3">
      <c r="A566" s="27"/>
      <c r="B566" s="26"/>
      <c r="C566" s="26"/>
    </row>
    <row r="567" spans="1:3">
      <c r="A567" s="27"/>
      <c r="B567" s="26"/>
      <c r="C567" s="26"/>
    </row>
    <row r="568" spans="1:3">
      <c r="A568" s="27"/>
      <c r="B568" s="26"/>
      <c r="C568" s="26"/>
    </row>
    <row r="569" spans="1:3">
      <c r="A569" s="27"/>
      <c r="B569" s="26"/>
      <c r="C569" s="26"/>
    </row>
    <row r="570" spans="1:3">
      <c r="A570" s="27"/>
      <c r="B570" s="26"/>
      <c r="C570" s="26"/>
    </row>
    <row r="571" spans="1:3">
      <c r="A571" s="27"/>
      <c r="B571" s="26"/>
      <c r="C571" s="26"/>
    </row>
    <row r="572" spans="1:3">
      <c r="A572" s="27"/>
      <c r="B572" s="26"/>
      <c r="C572" s="26"/>
    </row>
    <row r="573" spans="1:3">
      <c r="A573" s="27"/>
      <c r="B573" s="26"/>
      <c r="C573" s="26"/>
    </row>
    <row r="574" spans="1:3">
      <c r="A574" s="27"/>
      <c r="B574" s="26"/>
      <c r="C574" s="26"/>
    </row>
    <row r="575" spans="1:3">
      <c r="A575" s="27"/>
      <c r="B575" s="26"/>
      <c r="C575" s="26"/>
    </row>
    <row r="576" spans="1:3">
      <c r="A576" s="27"/>
      <c r="B576" s="26"/>
      <c r="C576" s="26"/>
    </row>
    <row r="577" spans="1:3">
      <c r="A577" s="27"/>
      <c r="B577" s="26"/>
      <c r="C577" s="26"/>
    </row>
    <row r="578" spans="1:3">
      <c r="A578" s="27"/>
      <c r="B578" s="26"/>
      <c r="C578" s="26"/>
    </row>
    <row r="579" spans="1:3">
      <c r="A579" s="27"/>
      <c r="B579" s="26"/>
      <c r="C579" s="26"/>
    </row>
    <row r="580" spans="1:3">
      <c r="A580" s="27"/>
      <c r="B580" s="26"/>
      <c r="C580" s="26"/>
    </row>
    <row r="581" spans="1:3">
      <c r="A581" s="27"/>
      <c r="B581" s="26"/>
      <c r="C581" s="26"/>
    </row>
    <row r="582" spans="1:3">
      <c r="A582" s="27"/>
      <c r="B582" s="26"/>
      <c r="C582" s="26"/>
    </row>
    <row r="583" spans="1:3">
      <c r="A583" s="27"/>
      <c r="B583" s="26"/>
      <c r="C583" s="26"/>
    </row>
    <row r="584" spans="1:3">
      <c r="A584" s="27"/>
      <c r="B584" s="26"/>
      <c r="C584" s="26"/>
    </row>
    <row r="585" spans="1:3">
      <c r="A585" s="27"/>
      <c r="B585" s="26"/>
      <c r="C585" s="26"/>
    </row>
    <row r="586" spans="1:3">
      <c r="A586" s="27"/>
      <c r="B586" s="26"/>
      <c r="C586" s="26"/>
    </row>
    <row r="587" spans="1:3">
      <c r="A587" s="27"/>
      <c r="B587" s="26"/>
      <c r="C587" s="26"/>
    </row>
    <row r="588" spans="1:3">
      <c r="A588" s="27"/>
      <c r="B588" s="26"/>
      <c r="C588" s="26"/>
    </row>
    <row r="589" spans="1:3">
      <c r="A589" s="27"/>
      <c r="B589" s="26"/>
      <c r="C589" s="26"/>
    </row>
    <row r="590" spans="1:3">
      <c r="A590" s="27"/>
      <c r="B590" s="26"/>
      <c r="C590" s="26"/>
    </row>
    <row r="591" spans="1:3">
      <c r="A591" s="27"/>
      <c r="B591" s="26"/>
      <c r="C591" s="26"/>
    </row>
    <row r="592" spans="1:3">
      <c r="A592" s="27"/>
      <c r="B592" s="26"/>
      <c r="C592" s="26"/>
    </row>
    <row r="593" spans="1:3">
      <c r="A593" s="27"/>
      <c r="B593" s="26"/>
      <c r="C593" s="26"/>
    </row>
    <row r="594" spans="1:3">
      <c r="A594" s="27"/>
      <c r="B594" s="26"/>
      <c r="C594" s="26"/>
    </row>
    <row r="595" spans="1:3">
      <c r="A595" s="27"/>
      <c r="B595" s="26"/>
      <c r="C595" s="26"/>
    </row>
    <row r="596" spans="1:3">
      <c r="A596" s="27"/>
      <c r="B596" s="26"/>
      <c r="C596" s="26"/>
    </row>
    <row r="597" spans="1:3">
      <c r="A597" s="27"/>
      <c r="B597" s="26"/>
      <c r="C597" s="26"/>
    </row>
    <row r="598" spans="1:3">
      <c r="A598" s="27"/>
      <c r="B598" s="26"/>
      <c r="C598" s="26"/>
    </row>
    <row r="599" spans="1:3">
      <c r="A599" s="27"/>
      <c r="B599" s="26"/>
      <c r="C599" s="26"/>
    </row>
    <row r="600" spans="1:3">
      <c r="A600" s="27"/>
      <c r="B600" s="26"/>
      <c r="C600" s="26"/>
    </row>
    <row r="601" spans="1:3">
      <c r="A601" s="27"/>
      <c r="B601" s="26"/>
      <c r="C601" s="26"/>
    </row>
    <row r="602" spans="1:3">
      <c r="A602" s="27"/>
      <c r="B602" s="26"/>
      <c r="C602" s="26"/>
    </row>
    <row r="603" spans="1:3">
      <c r="A603" s="27"/>
      <c r="B603" s="26"/>
      <c r="C603" s="26"/>
    </row>
    <row r="604" spans="1:3">
      <c r="A604" s="27"/>
      <c r="B604" s="26"/>
      <c r="C604" s="26"/>
    </row>
    <row r="605" spans="1:3">
      <c r="A605" s="27"/>
      <c r="B605" s="26"/>
      <c r="C605" s="26"/>
    </row>
    <row r="606" spans="1:3">
      <c r="A606" s="27"/>
      <c r="B606" s="26"/>
      <c r="C606" s="26"/>
    </row>
    <row r="607" spans="1:3">
      <c r="A607" s="27"/>
      <c r="B607" s="26"/>
      <c r="C607" s="26"/>
    </row>
    <row r="608" spans="1:3">
      <c r="A608" s="27"/>
      <c r="B608" s="26"/>
      <c r="C608" s="26"/>
    </row>
    <row r="609" spans="1:3">
      <c r="A609" s="27"/>
      <c r="B609" s="26"/>
      <c r="C609" s="26"/>
    </row>
    <row r="610" spans="1:3">
      <c r="A610" s="27"/>
      <c r="B610" s="26"/>
      <c r="C610" s="26"/>
    </row>
    <row r="611" spans="1:3">
      <c r="A611" s="27"/>
      <c r="B611" s="26"/>
      <c r="C611" s="26"/>
    </row>
    <row r="612" spans="1:3">
      <c r="A612" s="27"/>
      <c r="B612" s="26"/>
      <c r="C612" s="26"/>
    </row>
    <row r="613" spans="1:3">
      <c r="A613" s="27"/>
      <c r="B613" s="26"/>
      <c r="C613" s="26"/>
    </row>
    <row r="614" spans="1:3">
      <c r="A614" s="27"/>
      <c r="B614" s="26"/>
      <c r="C614" s="26"/>
    </row>
    <row r="615" spans="1:3">
      <c r="A615" s="27"/>
      <c r="B615" s="26"/>
      <c r="C615" s="26"/>
    </row>
    <row r="616" spans="1:3">
      <c r="A616" s="27"/>
      <c r="B616" s="26"/>
      <c r="C616" s="26"/>
    </row>
    <row r="617" spans="1:3">
      <c r="A617" s="27"/>
      <c r="B617" s="26"/>
      <c r="C617" s="26"/>
    </row>
    <row r="618" spans="1:3">
      <c r="A618" s="27"/>
      <c r="B618" s="26"/>
      <c r="C618" s="26"/>
    </row>
    <row r="619" spans="1:3">
      <c r="A619" s="27"/>
      <c r="B619" s="26"/>
      <c r="C619" s="26"/>
    </row>
    <row r="620" spans="1:3">
      <c r="A620" s="27"/>
      <c r="B620" s="26"/>
      <c r="C620" s="26"/>
    </row>
    <row r="621" spans="1:3">
      <c r="A621" s="27"/>
      <c r="B621" s="26"/>
      <c r="C621" s="26"/>
    </row>
    <row r="622" spans="1:3">
      <c r="A622" s="27"/>
      <c r="B622" s="26"/>
      <c r="C622" s="26"/>
    </row>
    <row r="623" spans="1:3">
      <c r="A623" s="27"/>
      <c r="B623" s="26"/>
      <c r="C623" s="26"/>
    </row>
    <row r="624" spans="1:3">
      <c r="A624" s="27"/>
      <c r="B624" s="26"/>
      <c r="C624" s="26"/>
    </row>
    <row r="625" spans="1:3">
      <c r="A625" s="27"/>
      <c r="B625" s="26"/>
      <c r="C625" s="26"/>
    </row>
    <row r="626" spans="1:3">
      <c r="A626" s="27"/>
      <c r="B626" s="26"/>
      <c r="C626" s="26"/>
    </row>
    <row r="627" spans="1:3">
      <c r="A627" s="27"/>
      <c r="B627" s="26"/>
      <c r="C627" s="26"/>
    </row>
    <row r="628" spans="1:3">
      <c r="A628" s="27"/>
      <c r="B628" s="26"/>
      <c r="C628" s="26"/>
    </row>
    <row r="629" spans="1:3">
      <c r="A629" s="27"/>
      <c r="B629" s="26"/>
      <c r="C629" s="26"/>
    </row>
    <row r="630" spans="1:3">
      <c r="A630" s="27"/>
      <c r="B630" s="26"/>
      <c r="C630" s="26"/>
    </row>
    <row r="631" spans="1:3">
      <c r="A631" s="27"/>
      <c r="B631" s="26"/>
      <c r="C631" s="26"/>
    </row>
    <row r="632" spans="1:3">
      <c r="A632" s="27"/>
      <c r="B632" s="26"/>
      <c r="C632" s="26"/>
    </row>
    <row r="633" spans="1:3">
      <c r="A633" s="27"/>
      <c r="B633" s="26"/>
      <c r="C633" s="26"/>
    </row>
    <row r="634" spans="1:3">
      <c r="A634" s="27"/>
      <c r="B634" s="26"/>
      <c r="C634" s="26"/>
    </row>
    <row r="635" spans="1:3">
      <c r="A635" s="27"/>
      <c r="B635" s="26"/>
      <c r="C635" s="26"/>
    </row>
    <row r="636" spans="1:3">
      <c r="A636" s="27"/>
      <c r="B636" s="26"/>
      <c r="C636" s="26"/>
    </row>
    <row r="637" spans="1:3">
      <c r="A637" s="27"/>
      <c r="B637" s="26"/>
      <c r="C637" s="26"/>
    </row>
    <row r="638" spans="1:3">
      <c r="A638" s="27"/>
      <c r="B638" s="26"/>
      <c r="C638" s="26"/>
    </row>
    <row r="639" spans="1:3">
      <c r="A639" s="27"/>
      <c r="B639" s="26"/>
      <c r="C639" s="26"/>
    </row>
    <row r="640" spans="1:3">
      <c r="A640" s="27"/>
      <c r="B640" s="26"/>
      <c r="C640" s="26"/>
    </row>
    <row r="641" spans="1:3">
      <c r="A641" s="27"/>
      <c r="B641" s="26"/>
      <c r="C641" s="26"/>
    </row>
    <row r="642" spans="1:3">
      <c r="A642" s="27"/>
      <c r="B642" s="26"/>
      <c r="C642" s="26"/>
    </row>
    <row r="643" spans="1:3">
      <c r="A643" s="27"/>
      <c r="B643" s="26"/>
      <c r="C643" s="26"/>
    </row>
    <row r="644" spans="1:3">
      <c r="A644" s="27"/>
      <c r="B644" s="26"/>
      <c r="C644" s="26"/>
    </row>
    <row r="645" spans="1:3">
      <c r="A645" s="27"/>
      <c r="B645" s="26"/>
      <c r="C645" s="26"/>
    </row>
    <row r="646" spans="1:3">
      <c r="A646" s="27"/>
      <c r="B646" s="26"/>
      <c r="C646" s="26"/>
    </row>
    <row r="647" spans="1:3">
      <c r="A647" s="27"/>
      <c r="B647" s="26"/>
      <c r="C647" s="26"/>
    </row>
    <row r="648" spans="1:3">
      <c r="A648" s="27"/>
      <c r="B648" s="26"/>
      <c r="C648" s="26"/>
    </row>
    <row r="649" spans="1:3">
      <c r="A649" s="27"/>
      <c r="B649" s="26"/>
      <c r="C649" s="26"/>
    </row>
    <row r="650" spans="1:3">
      <c r="A650" s="27"/>
      <c r="B650" s="26"/>
      <c r="C650" s="26"/>
    </row>
    <row r="651" spans="1:3">
      <c r="A651" s="27"/>
      <c r="B651" s="26"/>
      <c r="C651" s="26"/>
    </row>
    <row r="652" spans="1:3">
      <c r="A652" s="27"/>
      <c r="B652" s="26"/>
      <c r="C652" s="26"/>
    </row>
    <row r="653" spans="1:3">
      <c r="A653" s="27"/>
      <c r="B653" s="26"/>
      <c r="C653" s="26"/>
    </row>
    <row r="654" spans="1:3">
      <c r="A654" s="27"/>
      <c r="B654" s="26"/>
      <c r="C654" s="26"/>
    </row>
    <row r="655" spans="1:3">
      <c r="A655" s="27"/>
      <c r="B655" s="26"/>
      <c r="C655" s="26"/>
    </row>
    <row r="656" spans="1:3">
      <c r="A656" s="27"/>
      <c r="B656" s="26"/>
      <c r="C656" s="26"/>
    </row>
    <row r="657" spans="1:3">
      <c r="A657" s="27"/>
      <c r="B657" s="26"/>
      <c r="C657" s="26"/>
    </row>
    <row r="658" spans="1:3">
      <c r="A658" s="27"/>
      <c r="B658" s="26"/>
      <c r="C658" s="26"/>
    </row>
    <row r="659" spans="1:3">
      <c r="A659" s="27"/>
      <c r="B659" s="26"/>
      <c r="C659" s="26"/>
    </row>
    <row r="660" spans="1:3">
      <c r="A660" s="27"/>
      <c r="B660" s="26"/>
      <c r="C660" s="26"/>
    </row>
    <row r="661" spans="1:3">
      <c r="A661" s="27"/>
      <c r="B661" s="26"/>
      <c r="C661" s="26"/>
    </row>
    <row r="662" spans="1:3">
      <c r="A662" s="27"/>
      <c r="B662" s="26"/>
      <c r="C662" s="26"/>
    </row>
    <row r="663" spans="1:3">
      <c r="A663" s="27"/>
      <c r="B663" s="26"/>
      <c r="C663" s="26"/>
    </row>
    <row r="664" spans="1:3">
      <c r="A664" s="27"/>
      <c r="B664" s="26"/>
      <c r="C664" s="26"/>
    </row>
    <row r="665" spans="1:3">
      <c r="A665" s="27"/>
      <c r="B665" s="26"/>
      <c r="C665" s="26"/>
    </row>
    <row r="666" spans="1:3">
      <c r="A666" s="27"/>
      <c r="B666" s="26"/>
      <c r="C666" s="26"/>
    </row>
    <row r="667" spans="1:3">
      <c r="A667" s="27"/>
      <c r="B667" s="26"/>
      <c r="C667" s="26"/>
    </row>
    <row r="668" spans="1:3">
      <c r="A668" s="27"/>
      <c r="B668" s="26"/>
      <c r="C668" s="26"/>
    </row>
    <row r="669" spans="1:3">
      <c r="A669" s="27"/>
      <c r="B669" s="26"/>
      <c r="C669" s="26"/>
    </row>
    <row r="670" spans="1:3">
      <c r="A670" s="27"/>
      <c r="B670" s="26"/>
      <c r="C670" s="26"/>
    </row>
    <row r="671" spans="1:3">
      <c r="A671" s="27"/>
      <c r="B671" s="26"/>
      <c r="C671" s="26"/>
    </row>
    <row r="672" spans="1:3">
      <c r="A672" s="27"/>
      <c r="B672" s="26"/>
      <c r="C672" s="26"/>
    </row>
    <row r="673" spans="1:3">
      <c r="A673" s="27"/>
      <c r="B673" s="26"/>
      <c r="C673" s="26"/>
    </row>
    <row r="674" spans="1:3">
      <c r="A674" s="27"/>
      <c r="B674" s="26"/>
      <c r="C674" s="26"/>
    </row>
    <row r="675" spans="1:3">
      <c r="A675" s="27"/>
      <c r="B675" s="26"/>
      <c r="C675" s="26"/>
    </row>
    <row r="676" spans="1:3">
      <c r="A676" s="27"/>
      <c r="B676" s="26"/>
      <c r="C676" s="26"/>
    </row>
    <row r="677" spans="1:3">
      <c r="A677" s="27"/>
      <c r="B677" s="26"/>
      <c r="C677" s="26"/>
    </row>
    <row r="678" spans="1:3">
      <c r="A678" s="27"/>
      <c r="B678" s="26"/>
      <c r="C678" s="26"/>
    </row>
    <row r="679" spans="1:3">
      <c r="A679" s="27"/>
      <c r="B679" s="26"/>
      <c r="C679" s="26"/>
    </row>
    <row r="680" spans="1:3">
      <c r="A680" s="27"/>
      <c r="B680" s="26"/>
      <c r="C680" s="26"/>
    </row>
    <row r="681" spans="1:3">
      <c r="A681" s="27"/>
      <c r="B681" s="26"/>
      <c r="C681" s="26"/>
    </row>
    <row r="682" spans="1:3">
      <c r="A682" s="27"/>
      <c r="B682" s="26"/>
      <c r="C682" s="26"/>
    </row>
    <row r="683" spans="1:3">
      <c r="A683" s="27"/>
      <c r="B683" s="26"/>
      <c r="C683" s="26"/>
    </row>
    <row r="684" spans="1:3">
      <c r="A684" s="27"/>
      <c r="B684" s="26"/>
      <c r="C684" s="26"/>
    </row>
    <row r="685" spans="1:3">
      <c r="A685" s="27"/>
      <c r="B685" s="26"/>
      <c r="C685" s="26"/>
    </row>
    <row r="686" spans="1:3">
      <c r="A686" s="27"/>
      <c r="B686" s="26"/>
      <c r="C686" s="26"/>
    </row>
    <row r="687" spans="1:3">
      <c r="A687" s="27"/>
      <c r="B687" s="26"/>
      <c r="C687" s="26"/>
    </row>
    <row r="688" spans="1:3">
      <c r="A688" s="27"/>
      <c r="B688" s="26"/>
      <c r="C688" s="26"/>
    </row>
    <row r="689" spans="1:3">
      <c r="A689" s="27"/>
      <c r="B689" s="26"/>
      <c r="C689" s="26"/>
    </row>
    <row r="690" spans="1:3">
      <c r="A690" s="27"/>
      <c r="B690" s="26"/>
      <c r="C690" s="26"/>
    </row>
    <row r="691" spans="1:3">
      <c r="A691" s="27"/>
      <c r="B691" s="26"/>
      <c r="C691" s="26"/>
    </row>
    <row r="692" spans="1:3">
      <c r="A692" s="27"/>
      <c r="B692" s="26"/>
      <c r="C692" s="26"/>
    </row>
    <row r="693" spans="1:3">
      <c r="A693" s="27"/>
      <c r="B693" s="26"/>
      <c r="C693" s="26"/>
    </row>
    <row r="694" spans="1:3">
      <c r="A694" s="27"/>
      <c r="B694" s="26"/>
      <c r="C694" s="26"/>
    </row>
    <row r="695" spans="1:3">
      <c r="A695" s="27"/>
      <c r="B695" s="26"/>
      <c r="C695" s="26"/>
    </row>
    <row r="696" spans="1:3">
      <c r="A696" s="27"/>
      <c r="B696" s="26"/>
      <c r="C696" s="26"/>
    </row>
    <row r="697" spans="1:3">
      <c r="A697" s="27"/>
      <c r="B697" s="26"/>
      <c r="C697" s="26"/>
    </row>
    <row r="698" spans="1:3">
      <c r="A698" s="27"/>
      <c r="B698" s="26"/>
      <c r="C698" s="26"/>
    </row>
    <row r="699" spans="1:3">
      <c r="A699" s="27"/>
      <c r="B699" s="26"/>
      <c r="C699" s="26"/>
    </row>
    <row r="700" spans="1:3">
      <c r="A700" s="27"/>
      <c r="B700" s="26"/>
      <c r="C700" s="26"/>
    </row>
    <row r="701" spans="1:3">
      <c r="A701" s="27"/>
      <c r="B701" s="26"/>
      <c r="C701" s="26"/>
    </row>
    <row r="702" spans="1:3">
      <c r="A702" s="27"/>
      <c r="B702" s="26"/>
      <c r="C702" s="26"/>
    </row>
    <row r="703" spans="1:3">
      <c r="A703" s="27"/>
      <c r="B703" s="26"/>
      <c r="C703" s="26"/>
    </row>
    <row r="704" spans="1:3">
      <c r="A704" s="27"/>
      <c r="B704" s="26"/>
      <c r="C704" s="26"/>
    </row>
    <row r="705" spans="1:3">
      <c r="A705" s="27"/>
      <c r="B705" s="26"/>
      <c r="C705" s="26"/>
    </row>
    <row r="706" spans="1:3">
      <c r="A706" s="27"/>
      <c r="B706" s="26"/>
      <c r="C706" s="26"/>
    </row>
    <row r="707" spans="1:3">
      <c r="A707" s="27"/>
      <c r="B707" s="26"/>
      <c r="C707" s="26"/>
    </row>
    <row r="708" spans="1:3">
      <c r="A708" s="27"/>
      <c r="B708" s="26"/>
      <c r="C708" s="26"/>
    </row>
    <row r="709" spans="1:3">
      <c r="A709" s="27"/>
      <c r="B709" s="26"/>
      <c r="C709" s="26"/>
    </row>
    <row r="710" spans="1:3">
      <c r="A710" s="27"/>
      <c r="B710" s="26"/>
      <c r="C710" s="26"/>
    </row>
    <row r="711" spans="1:3">
      <c r="A711" s="27"/>
      <c r="B711" s="26"/>
      <c r="C711" s="26"/>
    </row>
    <row r="712" spans="1:3">
      <c r="A712" s="27"/>
      <c r="B712" s="26"/>
      <c r="C712" s="26"/>
    </row>
    <row r="713" spans="1:3">
      <c r="A713" s="27"/>
      <c r="B713" s="26"/>
      <c r="C713" s="26"/>
    </row>
    <row r="714" spans="1:3">
      <c r="A714" s="27"/>
      <c r="B714" s="26"/>
      <c r="C714" s="26"/>
    </row>
    <row r="715" spans="1:3">
      <c r="A715" s="27"/>
      <c r="B715" s="26"/>
      <c r="C715" s="26"/>
    </row>
    <row r="716" spans="1:3">
      <c r="A716" s="27"/>
      <c r="B716" s="26"/>
      <c r="C716" s="26"/>
    </row>
    <row r="717" spans="1:3">
      <c r="A717" s="27"/>
      <c r="B717" s="26"/>
      <c r="C717" s="26"/>
    </row>
    <row r="718" spans="1:3">
      <c r="A718" s="27"/>
      <c r="B718" s="26"/>
      <c r="C718" s="26"/>
    </row>
    <row r="719" spans="1:3">
      <c r="A719" s="27"/>
      <c r="B719" s="26"/>
      <c r="C719" s="26"/>
    </row>
    <row r="720" spans="1:3">
      <c r="A720" s="27"/>
      <c r="B720" s="26"/>
      <c r="C720" s="26"/>
    </row>
    <row r="721" spans="1:3">
      <c r="A721" s="27"/>
      <c r="B721" s="26"/>
      <c r="C721" s="26"/>
    </row>
    <row r="722" spans="1:3">
      <c r="A722" s="27"/>
      <c r="B722" s="26"/>
      <c r="C722" s="26"/>
    </row>
    <row r="723" spans="1:3">
      <c r="A723" s="27"/>
      <c r="B723" s="26"/>
      <c r="C723" s="26"/>
    </row>
    <row r="724" spans="1:3">
      <c r="A724" s="27"/>
      <c r="B724" s="26"/>
      <c r="C724" s="26"/>
    </row>
    <row r="725" spans="1:3">
      <c r="A725" s="27"/>
      <c r="B725" s="26"/>
      <c r="C725" s="26"/>
    </row>
    <row r="726" spans="1:3">
      <c r="A726" s="27"/>
      <c r="B726" s="26"/>
      <c r="C726" s="26"/>
    </row>
    <row r="727" spans="1:3">
      <c r="A727" s="27"/>
      <c r="B727" s="26"/>
      <c r="C727" s="26"/>
    </row>
    <row r="728" spans="1:3">
      <c r="A728" s="27"/>
      <c r="B728" s="26"/>
      <c r="C728" s="26"/>
    </row>
    <row r="729" spans="1:3">
      <c r="A729" s="27"/>
      <c r="B729" s="26"/>
      <c r="C729" s="26"/>
    </row>
    <row r="730" spans="1:3">
      <c r="A730" s="27"/>
      <c r="B730" s="26"/>
      <c r="C730" s="26"/>
    </row>
    <row r="731" spans="1:3">
      <c r="A731" s="27"/>
      <c r="B731" s="26"/>
      <c r="C731" s="26"/>
    </row>
    <row r="732" spans="1:3">
      <c r="A732" s="27"/>
      <c r="B732" s="26"/>
      <c r="C732" s="26"/>
    </row>
    <row r="733" spans="1:3">
      <c r="A733" s="27"/>
      <c r="B733" s="26"/>
      <c r="C733" s="26"/>
    </row>
    <row r="734" spans="1:3">
      <c r="A734" s="27"/>
      <c r="B734" s="26"/>
      <c r="C734" s="26"/>
    </row>
    <row r="735" spans="1:3">
      <c r="A735" s="27"/>
      <c r="B735" s="26"/>
      <c r="C735" s="26"/>
    </row>
    <row r="736" spans="1:3">
      <c r="A736" s="27"/>
      <c r="B736" s="26"/>
      <c r="C736" s="26"/>
    </row>
    <row r="737" spans="1:3">
      <c r="A737" s="27"/>
      <c r="B737" s="26"/>
      <c r="C737" s="26"/>
    </row>
    <row r="738" spans="1:3">
      <c r="A738" s="27"/>
      <c r="B738" s="26"/>
      <c r="C738" s="26"/>
    </row>
    <row r="739" spans="1:3">
      <c r="A739" s="27"/>
      <c r="B739" s="26"/>
      <c r="C739" s="26"/>
    </row>
    <row r="740" spans="1:3">
      <c r="A740" s="27"/>
      <c r="B740" s="26"/>
      <c r="C740" s="26"/>
    </row>
    <row r="741" spans="1:3">
      <c r="A741" s="27"/>
      <c r="B741" s="26"/>
      <c r="C741" s="26"/>
    </row>
    <row r="742" spans="1:3">
      <c r="A742" s="27"/>
      <c r="B742" s="26"/>
      <c r="C742" s="26"/>
    </row>
    <row r="743" spans="1:3">
      <c r="A743" s="27"/>
      <c r="B743" s="26"/>
      <c r="C743" s="26"/>
    </row>
    <row r="744" spans="1:3">
      <c r="A744" s="27"/>
      <c r="B744" s="26"/>
      <c r="C744" s="26"/>
    </row>
    <row r="745" spans="1:3">
      <c r="A745" s="27"/>
      <c r="B745" s="26"/>
      <c r="C745" s="26"/>
    </row>
    <row r="746" spans="1:3">
      <c r="A746" s="27"/>
      <c r="B746" s="26"/>
      <c r="C746" s="26"/>
    </row>
    <row r="747" spans="1:3">
      <c r="A747" s="27"/>
      <c r="B747" s="26"/>
      <c r="C747" s="26"/>
    </row>
    <row r="748" spans="1:3">
      <c r="A748" s="27"/>
      <c r="B748" s="26"/>
      <c r="C748" s="26"/>
    </row>
    <row r="749" spans="1:3">
      <c r="A749" s="27"/>
      <c r="B749" s="26"/>
      <c r="C749" s="26"/>
    </row>
    <row r="750" spans="1:3">
      <c r="A750" s="27"/>
      <c r="B750" s="26"/>
      <c r="C750" s="26"/>
    </row>
    <row r="751" spans="1:3">
      <c r="A751" s="27"/>
      <c r="B751" s="26"/>
      <c r="C751" s="26"/>
    </row>
    <row r="752" spans="1:3">
      <c r="A752" s="27"/>
      <c r="B752" s="26"/>
      <c r="C752" s="26"/>
    </row>
    <row r="753" spans="1:3">
      <c r="A753" s="27"/>
      <c r="B753" s="26"/>
      <c r="C753" s="26"/>
    </row>
    <row r="754" spans="1:3">
      <c r="A754" s="27"/>
      <c r="B754" s="26"/>
      <c r="C754" s="26"/>
    </row>
    <row r="755" spans="1:3">
      <c r="A755" s="27"/>
      <c r="B755" s="26"/>
      <c r="C755" s="26"/>
    </row>
    <row r="756" spans="1:3">
      <c r="A756" s="27"/>
      <c r="B756" s="26"/>
      <c r="C756" s="26"/>
    </row>
    <row r="757" spans="1:3">
      <c r="A757" s="27"/>
      <c r="B757" s="26"/>
      <c r="C757" s="26"/>
    </row>
    <row r="758" spans="1:3">
      <c r="A758" s="27"/>
      <c r="B758" s="26"/>
      <c r="C758" s="26"/>
    </row>
    <row r="759" spans="1:3">
      <c r="A759" s="27"/>
      <c r="B759" s="26"/>
      <c r="C759" s="26"/>
    </row>
    <row r="760" spans="1:3">
      <c r="A760" s="27"/>
      <c r="B760" s="26"/>
      <c r="C760" s="26"/>
    </row>
    <row r="761" spans="1:3">
      <c r="A761" s="27"/>
      <c r="B761" s="26"/>
      <c r="C761" s="26"/>
    </row>
    <row r="762" spans="1:3">
      <c r="A762" s="27"/>
      <c r="B762" s="26"/>
      <c r="C762" s="26"/>
    </row>
    <row r="763" spans="1:3">
      <c r="A763" s="27"/>
      <c r="B763" s="26"/>
      <c r="C763" s="26"/>
    </row>
    <row r="764" spans="1:3">
      <c r="A764" s="27"/>
      <c r="B764" s="26"/>
      <c r="C764" s="26"/>
    </row>
    <row r="765" spans="1:3">
      <c r="A765" s="27"/>
      <c r="B765" s="26"/>
      <c r="C765" s="26"/>
    </row>
    <row r="766" spans="1:3">
      <c r="A766" s="27"/>
      <c r="B766" s="26"/>
      <c r="C766" s="26"/>
    </row>
    <row r="767" spans="1:3">
      <c r="A767" s="27"/>
      <c r="B767" s="26"/>
      <c r="C767" s="26"/>
    </row>
    <row r="768" spans="1:3">
      <c r="A768" s="27"/>
      <c r="B768" s="26"/>
      <c r="C768" s="26"/>
    </row>
    <row r="769" spans="1:3">
      <c r="A769" s="27"/>
      <c r="B769" s="26"/>
      <c r="C769" s="26"/>
    </row>
    <row r="770" spans="1:3">
      <c r="A770" s="27"/>
      <c r="B770" s="26"/>
      <c r="C770" s="26"/>
    </row>
    <row r="771" spans="1:3">
      <c r="A771" s="27"/>
      <c r="B771" s="26"/>
      <c r="C771" s="26"/>
    </row>
    <row r="772" spans="1:3">
      <c r="A772" s="27"/>
      <c r="B772" s="26"/>
      <c r="C772" s="26"/>
    </row>
    <row r="773" spans="1:3">
      <c r="A773" s="27"/>
      <c r="B773" s="26"/>
      <c r="C773" s="26"/>
    </row>
    <row r="774" spans="1:3">
      <c r="A774" s="27"/>
      <c r="B774" s="26"/>
      <c r="C774" s="26"/>
    </row>
    <row r="775" spans="1:3">
      <c r="A775" s="27"/>
      <c r="B775" s="26"/>
      <c r="C775" s="26"/>
    </row>
    <row r="776" spans="1:3">
      <c r="A776" s="27"/>
      <c r="B776" s="26"/>
      <c r="C776" s="26"/>
    </row>
    <row r="777" spans="1:3">
      <c r="A777" s="27"/>
      <c r="B777" s="26"/>
      <c r="C777" s="26"/>
    </row>
    <row r="778" spans="1:3">
      <c r="A778" s="27"/>
      <c r="B778" s="26"/>
      <c r="C778" s="26"/>
    </row>
    <row r="779" spans="1:3">
      <c r="A779" s="27"/>
      <c r="B779" s="26"/>
      <c r="C779" s="26"/>
    </row>
    <row r="780" spans="1:3">
      <c r="A780" s="27"/>
      <c r="B780" s="26"/>
      <c r="C780" s="26"/>
    </row>
    <row r="781" spans="1:3">
      <c r="A781" s="27"/>
      <c r="B781" s="26"/>
      <c r="C781" s="26"/>
    </row>
    <row r="782" spans="1:3">
      <c r="A782" s="27"/>
      <c r="B782" s="26"/>
      <c r="C782" s="26"/>
    </row>
    <row r="783" spans="1:3">
      <c r="A783" s="27"/>
      <c r="B783" s="26"/>
      <c r="C783" s="26"/>
    </row>
    <row r="784" spans="1:3">
      <c r="A784" s="27"/>
      <c r="B784" s="26"/>
      <c r="C784" s="26"/>
    </row>
    <row r="785" spans="1:3">
      <c r="A785" s="27"/>
      <c r="B785" s="26"/>
      <c r="C785" s="26"/>
    </row>
    <row r="786" spans="1:3">
      <c r="A786" s="27"/>
      <c r="B786" s="26"/>
      <c r="C786" s="26"/>
    </row>
    <row r="787" spans="1:3">
      <c r="A787" s="27"/>
      <c r="B787" s="26"/>
      <c r="C787" s="26"/>
    </row>
    <row r="788" spans="1:3">
      <c r="A788" s="27"/>
      <c r="B788" s="26"/>
      <c r="C788" s="26"/>
    </row>
    <row r="789" spans="1:3">
      <c r="A789" s="27"/>
      <c r="B789" s="26"/>
      <c r="C789" s="26"/>
    </row>
    <row r="790" spans="1:3">
      <c r="A790" s="27"/>
      <c r="B790" s="26"/>
      <c r="C790" s="26"/>
    </row>
    <row r="791" spans="1:3">
      <c r="A791" s="27"/>
      <c r="B791" s="26"/>
      <c r="C791" s="26"/>
    </row>
    <row r="792" spans="1:3">
      <c r="A792" s="27"/>
      <c r="B792" s="26"/>
      <c r="C792" s="26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69"/>
  <sheetViews>
    <sheetView zoomScaleNormal="100" workbookViewId="0">
      <selection activeCell="U37" sqref="U2:U37"/>
    </sheetView>
  </sheetViews>
  <sheetFormatPr defaultRowHeight="18.75"/>
  <cols>
    <col min="1" max="1" width="11.25" customWidth="1"/>
    <col min="2" max="2" width="11.375" bestFit="1" customWidth="1"/>
    <col min="3" max="3" width="12.625" bestFit="1" customWidth="1"/>
    <col min="4" max="4" width="9.125" bestFit="1" customWidth="1"/>
    <col min="5" max="5" width="4.375" customWidth="1"/>
    <col min="6" max="6" width="13" bestFit="1" customWidth="1"/>
    <col min="7" max="7" width="11.375" customWidth="1"/>
    <col min="8" max="8" width="9.375" bestFit="1" customWidth="1"/>
    <col min="20" max="21" width="13" bestFit="1" customWidth="1"/>
    <col min="22" max="22" width="17.25" bestFit="1" customWidth="1"/>
  </cols>
  <sheetData>
    <row r="1" spans="1:22">
      <c r="C1" t="str">
        <f ca="1">"集計期間 "&amp;YEAR(C2)&amp;"年"&amp;MONTH(C2)&amp;"月"&amp;DAY(C2)&amp;"日 ～ "&amp;YEAR(D2)&amp;"年"&amp;MONTH(D2)&amp;"月"&amp;DAY(D2)&amp;"日"&amp;D1</f>
        <v>集計期間 1900年1月0日 ～ 1900年1月0日*</v>
      </c>
      <c r="D1" t="str">
        <f ca="1">IF(COUNTIF(D4:D31,"ない")&gt;0,"*","")</f>
        <v>*</v>
      </c>
      <c r="T1" t="s">
        <v>73</v>
      </c>
    </row>
    <row r="2" spans="1:22">
      <c r="A2" t="s">
        <v>182</v>
      </c>
      <c r="B2">
        <v>6</v>
      </c>
      <c r="C2" s="1">
        <f>MIN(テーブル1[日付])</f>
        <v>0</v>
      </c>
      <c r="D2" s="1">
        <f>MAX(テーブル1[日付])</f>
        <v>0</v>
      </c>
      <c r="I2" s="22"/>
      <c r="T2" t="s">
        <v>74</v>
      </c>
      <c r="U2" t="s">
        <v>27</v>
      </c>
      <c r="V2" t="s">
        <v>117</v>
      </c>
    </row>
    <row r="3" spans="1:22">
      <c r="A3" s="2" t="s">
        <v>5</v>
      </c>
      <c r="B3" t="s">
        <v>176</v>
      </c>
      <c r="C3" t="s">
        <v>0</v>
      </c>
      <c r="D3" t="s">
        <v>72</v>
      </c>
      <c r="T3" t="s">
        <v>75</v>
      </c>
      <c r="U3" t="s">
        <v>43</v>
      </c>
      <c r="V3" t="s">
        <v>118</v>
      </c>
    </row>
    <row r="4" spans="1:22">
      <c r="A4" s="23" t="s">
        <v>202</v>
      </c>
      <c r="C4" s="1">
        <f ca="1">TODAY()-1</f>
        <v>45291</v>
      </c>
      <c r="D4" t="str">
        <f ca="1">IF(ISERROR(MATCH(C4,テーブル1[日付],0)),"ない","ある")</f>
        <v>ない</v>
      </c>
      <c r="F4" s="21" t="s">
        <v>172</v>
      </c>
      <c r="T4" t="s">
        <v>76</v>
      </c>
      <c r="U4" t="s">
        <v>38</v>
      </c>
      <c r="V4" t="s">
        <v>119</v>
      </c>
    </row>
    <row r="5" spans="1:22">
      <c r="A5" s="23" t="s">
        <v>4</v>
      </c>
      <c r="C5" s="1">
        <f ca="1">C4-1</f>
        <v>45290</v>
      </c>
      <c r="D5" t="str">
        <f ca="1">IF(ISERROR(MATCH(C5,テーブル1[日付],0)),"ない","ある")</f>
        <v>ない</v>
      </c>
      <c r="F5" t="s">
        <v>175</v>
      </c>
      <c r="T5" t="s">
        <v>77</v>
      </c>
      <c r="U5" t="s">
        <v>51</v>
      </c>
      <c r="V5" t="s">
        <v>120</v>
      </c>
    </row>
    <row r="6" spans="1:22">
      <c r="C6" s="1">
        <f t="shared" ref="C6:C31" ca="1" si="0">C5-1</f>
        <v>45289</v>
      </c>
      <c r="D6" t="str">
        <f ca="1">IF(ISERROR(MATCH(C6,テーブル1[日付],0)),"ない","ある")</f>
        <v>ない</v>
      </c>
      <c r="F6" t="s">
        <v>173</v>
      </c>
      <c r="T6" t="s">
        <v>78</v>
      </c>
      <c r="U6" t="s">
        <v>52</v>
      </c>
      <c r="V6" t="s">
        <v>121</v>
      </c>
    </row>
    <row r="7" spans="1:22">
      <c r="C7" s="1">
        <f t="shared" ca="1" si="0"/>
        <v>45288</v>
      </c>
      <c r="D7" t="str">
        <f ca="1">IF(ISERROR(MATCH(C7,テーブル1[日付],0)),"ない","ある")</f>
        <v>ない</v>
      </c>
      <c r="F7" t="s">
        <v>181</v>
      </c>
      <c r="T7" t="s">
        <v>79</v>
      </c>
      <c r="U7" t="s">
        <v>16</v>
      </c>
      <c r="V7" t="s">
        <v>122</v>
      </c>
    </row>
    <row r="8" spans="1:22">
      <c r="C8" s="1">
        <f t="shared" ca="1" si="0"/>
        <v>45287</v>
      </c>
      <c r="D8" t="str">
        <f ca="1">IF(ISERROR(MATCH(C8,テーブル1[日付],0)),"ない","ある")</f>
        <v>ない</v>
      </c>
      <c r="F8" s="21"/>
      <c r="T8" t="s">
        <v>80</v>
      </c>
      <c r="U8" t="s">
        <v>44</v>
      </c>
      <c r="V8" t="s">
        <v>123</v>
      </c>
    </row>
    <row r="9" spans="1:22">
      <c r="C9" s="1">
        <f t="shared" ca="1" si="0"/>
        <v>45286</v>
      </c>
      <c r="D9" t="str">
        <f ca="1">IF(ISERROR(MATCH(C9,テーブル1[日付],0)),"ない","ある")</f>
        <v>ない</v>
      </c>
      <c r="F9" s="21" t="s">
        <v>178</v>
      </c>
      <c r="T9" t="s">
        <v>81</v>
      </c>
      <c r="U9" t="s">
        <v>36</v>
      </c>
      <c r="V9" t="s">
        <v>124</v>
      </c>
    </row>
    <row r="10" spans="1:22">
      <c r="C10" s="1">
        <f t="shared" ca="1" si="0"/>
        <v>45285</v>
      </c>
      <c r="D10" t="str">
        <f ca="1">IF(ISERROR(MATCH(C10,テーブル1[日付],0)),"ない","ある")</f>
        <v>ない</v>
      </c>
      <c r="F10" t="s">
        <v>183</v>
      </c>
      <c r="T10" t="s">
        <v>82</v>
      </c>
      <c r="U10" t="s">
        <v>25</v>
      </c>
      <c r="V10" t="s">
        <v>125</v>
      </c>
    </row>
    <row r="11" spans="1:22">
      <c r="C11" s="1">
        <f t="shared" ca="1" si="0"/>
        <v>45284</v>
      </c>
      <c r="D11" t="str">
        <f ca="1">IF(ISERROR(MATCH(C11,テーブル1[日付],0)),"ない","ある")</f>
        <v>ない</v>
      </c>
      <c r="F11" t="s">
        <v>179</v>
      </c>
      <c r="T11" t="s">
        <v>83</v>
      </c>
      <c r="U11" t="s">
        <v>26</v>
      </c>
      <c r="V11" t="s">
        <v>126</v>
      </c>
    </row>
    <row r="12" spans="1:22">
      <c r="C12" s="1">
        <f t="shared" ca="1" si="0"/>
        <v>45283</v>
      </c>
      <c r="D12" t="str">
        <f ca="1">IF(ISERROR(MATCH(C12,テーブル1[日付],0)),"ない","ある")</f>
        <v>ない</v>
      </c>
      <c r="F12" s="25" t="s">
        <v>180</v>
      </c>
      <c r="T12" t="s">
        <v>84</v>
      </c>
      <c r="U12" t="s">
        <v>31</v>
      </c>
      <c r="V12" t="s">
        <v>127</v>
      </c>
    </row>
    <row r="13" spans="1:22">
      <c r="C13" s="1">
        <f t="shared" ca="1" si="0"/>
        <v>45282</v>
      </c>
      <c r="D13" t="str">
        <f ca="1">IF(ISERROR(MATCH(C13,テーブル1[日付],0)),"ない","ある")</f>
        <v>ない</v>
      </c>
      <c r="T13" t="s">
        <v>85</v>
      </c>
      <c r="U13" t="s">
        <v>62</v>
      </c>
      <c r="V13" t="s">
        <v>128</v>
      </c>
    </row>
    <row r="14" spans="1:22">
      <c r="C14" s="1">
        <f t="shared" ca="1" si="0"/>
        <v>45281</v>
      </c>
      <c r="D14" t="str">
        <f ca="1">IF(ISERROR(MATCH(C14,テーブル1[日付],0)),"ない","ある")</f>
        <v>ない</v>
      </c>
      <c r="F14" t="s">
        <v>199</v>
      </c>
      <c r="I14" s="24"/>
      <c r="T14" t="s">
        <v>86</v>
      </c>
      <c r="U14" t="s">
        <v>33</v>
      </c>
      <c r="V14" t="s">
        <v>129</v>
      </c>
    </row>
    <row r="15" spans="1:22">
      <c r="C15" s="1">
        <f t="shared" ca="1" si="0"/>
        <v>45280</v>
      </c>
      <c r="D15" t="str">
        <f ca="1">IF(ISERROR(MATCH(C15,テーブル1[日付],0)),"ない","ある")</f>
        <v>ない</v>
      </c>
      <c r="F15" t="s">
        <v>197</v>
      </c>
      <c r="T15" t="s">
        <v>87</v>
      </c>
      <c r="U15" t="s">
        <v>18</v>
      </c>
      <c r="V15" t="s">
        <v>130</v>
      </c>
    </row>
    <row r="16" spans="1:22">
      <c r="C16" s="1">
        <f t="shared" ca="1" si="0"/>
        <v>45279</v>
      </c>
      <c r="D16" t="str">
        <f ca="1">IF(ISERROR(MATCH(C16,テーブル1[日付],0)),"ない","ある")</f>
        <v>ない</v>
      </c>
      <c r="F16" t="s">
        <v>198</v>
      </c>
      <c r="T16" t="s">
        <v>88</v>
      </c>
      <c r="U16" t="s">
        <v>21</v>
      </c>
      <c r="V16" t="s">
        <v>131</v>
      </c>
    </row>
    <row r="17" spans="3:22">
      <c r="C17" s="1">
        <f t="shared" ca="1" si="0"/>
        <v>45278</v>
      </c>
      <c r="D17" t="str">
        <f ca="1">IF(ISERROR(MATCH(C17,テーブル1[日付],0)),"ない","ある")</f>
        <v>ない</v>
      </c>
      <c r="F17" t="s">
        <v>200</v>
      </c>
      <c r="T17" t="s">
        <v>89</v>
      </c>
      <c r="U17" t="s">
        <v>47</v>
      </c>
      <c r="V17" t="s">
        <v>132</v>
      </c>
    </row>
    <row r="18" spans="3:22">
      <c r="C18" s="1">
        <f t="shared" ca="1" si="0"/>
        <v>45277</v>
      </c>
      <c r="D18" t="str">
        <f ca="1">IF(ISERROR(MATCH(C18,テーブル1[日付],0)),"ない","ある")</f>
        <v>ない</v>
      </c>
      <c r="T18" t="s">
        <v>91</v>
      </c>
      <c r="U18" t="s">
        <v>39</v>
      </c>
      <c r="V18" t="s">
        <v>133</v>
      </c>
    </row>
    <row r="19" spans="3:22">
      <c r="C19" s="1">
        <f t="shared" ca="1" si="0"/>
        <v>45276</v>
      </c>
      <c r="D19" t="str">
        <f ca="1">IF(ISERROR(MATCH(C19,テーブル1[日付],0)),"ない","ある")</f>
        <v>ない</v>
      </c>
      <c r="T19" t="s">
        <v>90</v>
      </c>
      <c r="U19" t="s">
        <v>34</v>
      </c>
      <c r="V19" t="s">
        <v>134</v>
      </c>
    </row>
    <row r="20" spans="3:22">
      <c r="C20" s="1">
        <f t="shared" ca="1" si="0"/>
        <v>45275</v>
      </c>
      <c r="D20" t="str">
        <f ca="1">IF(ISERROR(MATCH(C20,テーブル1[日付],0)),"ない","ある")</f>
        <v>ない</v>
      </c>
      <c r="T20" t="s">
        <v>92</v>
      </c>
      <c r="U20" t="s">
        <v>17</v>
      </c>
      <c r="V20" t="s">
        <v>135</v>
      </c>
    </row>
    <row r="21" spans="3:22">
      <c r="C21" s="1">
        <f t="shared" ca="1" si="0"/>
        <v>45274</v>
      </c>
      <c r="D21" t="str">
        <f ca="1">IF(ISERROR(MATCH(C21,テーブル1[日付],0)),"ない","ある")</f>
        <v>ない</v>
      </c>
      <c r="T21" t="s">
        <v>93</v>
      </c>
      <c r="U21" t="s">
        <v>40</v>
      </c>
      <c r="V21" t="s">
        <v>136</v>
      </c>
    </row>
    <row r="22" spans="3:22">
      <c r="C22" s="1">
        <f t="shared" ca="1" si="0"/>
        <v>45273</v>
      </c>
      <c r="D22" t="str">
        <f ca="1">IF(ISERROR(MATCH(C22,テーブル1[日付],0)),"ない","ある")</f>
        <v>ない</v>
      </c>
      <c r="T22" t="s">
        <v>94</v>
      </c>
      <c r="U22" t="s">
        <v>20</v>
      </c>
      <c r="V22" t="s">
        <v>137</v>
      </c>
    </row>
    <row r="23" spans="3:22">
      <c r="C23" s="1">
        <f t="shared" ca="1" si="0"/>
        <v>45272</v>
      </c>
      <c r="D23" t="str">
        <f ca="1">IF(ISERROR(MATCH(C23,テーブル1[日付],0)),"ない","ある")</f>
        <v>ない</v>
      </c>
      <c r="T23" t="s">
        <v>95</v>
      </c>
      <c r="U23" t="s">
        <v>50</v>
      </c>
      <c r="V23" t="s">
        <v>138</v>
      </c>
    </row>
    <row r="24" spans="3:22">
      <c r="C24" s="1">
        <f t="shared" ca="1" si="0"/>
        <v>45271</v>
      </c>
      <c r="D24" t="str">
        <f ca="1">IF(ISERROR(MATCH(C24,テーブル1[日付],0)),"ない","ある")</f>
        <v>ない</v>
      </c>
      <c r="T24" t="s">
        <v>96</v>
      </c>
      <c r="U24" t="s">
        <v>23</v>
      </c>
      <c r="V24" t="s">
        <v>139</v>
      </c>
    </row>
    <row r="25" spans="3:22">
      <c r="C25" s="1">
        <f t="shared" ca="1" si="0"/>
        <v>45270</v>
      </c>
      <c r="D25" t="str">
        <f ca="1">IF(ISERROR(MATCH(C25,テーブル1[日付],0)),"ない","ある")</f>
        <v>ない</v>
      </c>
      <c r="T25" t="s">
        <v>97</v>
      </c>
      <c r="U25" t="s">
        <v>35</v>
      </c>
      <c r="V25" t="s">
        <v>140</v>
      </c>
    </row>
    <row r="26" spans="3:22">
      <c r="C26" s="1">
        <f t="shared" ca="1" si="0"/>
        <v>45269</v>
      </c>
      <c r="D26" t="str">
        <f ca="1">IF(ISERROR(MATCH(C26,テーブル1[日付],0)),"ない","ある")</f>
        <v>ない</v>
      </c>
      <c r="T26" t="s">
        <v>98</v>
      </c>
      <c r="U26" t="s">
        <v>13</v>
      </c>
      <c r="V26" t="s">
        <v>141</v>
      </c>
    </row>
    <row r="27" spans="3:22">
      <c r="C27" s="1">
        <f t="shared" ca="1" si="0"/>
        <v>45268</v>
      </c>
      <c r="D27" t="str">
        <f ca="1">IF(ISERROR(MATCH(C27,テーブル1[日付],0)),"ない","ある")</f>
        <v>ない</v>
      </c>
      <c r="T27" t="s">
        <v>99</v>
      </c>
      <c r="U27" t="s">
        <v>29</v>
      </c>
      <c r="V27" t="s">
        <v>142</v>
      </c>
    </row>
    <row r="28" spans="3:22">
      <c r="C28" s="1">
        <f t="shared" ca="1" si="0"/>
        <v>45267</v>
      </c>
      <c r="D28" t="str">
        <f ca="1">IF(ISERROR(MATCH(C28,テーブル1[日付],0)),"ない","ある")</f>
        <v>ない</v>
      </c>
      <c r="T28" t="s">
        <v>100</v>
      </c>
      <c r="U28" t="s">
        <v>42</v>
      </c>
      <c r="V28" t="s">
        <v>143</v>
      </c>
    </row>
    <row r="29" spans="3:22">
      <c r="C29" s="1">
        <f t="shared" ca="1" si="0"/>
        <v>45266</v>
      </c>
      <c r="D29" t="str">
        <f ca="1">IF(ISERROR(MATCH(C29,テーブル1[日付],0)),"ない","ある")</f>
        <v>ない</v>
      </c>
      <c r="T29" t="s">
        <v>101</v>
      </c>
      <c r="U29" t="s">
        <v>30</v>
      </c>
      <c r="V29" t="s">
        <v>144</v>
      </c>
    </row>
    <row r="30" spans="3:22">
      <c r="C30" s="1">
        <f t="shared" ca="1" si="0"/>
        <v>45265</v>
      </c>
      <c r="D30" t="str">
        <f ca="1">IF(ISERROR(MATCH(C30,テーブル1[日付],0)),"ない","ある")</f>
        <v>ない</v>
      </c>
      <c r="T30" t="s">
        <v>102</v>
      </c>
      <c r="U30" t="s">
        <v>15</v>
      </c>
      <c r="V30" t="s">
        <v>145</v>
      </c>
    </row>
    <row r="31" spans="3:22">
      <c r="C31" s="1">
        <f t="shared" ca="1" si="0"/>
        <v>45264</v>
      </c>
      <c r="D31" t="str">
        <f ca="1">IF(ISERROR(MATCH(C31,テーブル1[日付],0)),"ない","ある")</f>
        <v>ない</v>
      </c>
      <c r="T31" t="s">
        <v>103</v>
      </c>
      <c r="U31" t="s">
        <v>49</v>
      </c>
      <c r="V31" t="s">
        <v>146</v>
      </c>
    </row>
    <row r="32" spans="3:22">
      <c r="T32" t="s">
        <v>104</v>
      </c>
      <c r="U32" t="s">
        <v>12</v>
      </c>
      <c r="V32" t="s">
        <v>147</v>
      </c>
    </row>
    <row r="33" spans="20:22">
      <c r="T33" t="s">
        <v>105</v>
      </c>
      <c r="U33" t="s">
        <v>46</v>
      </c>
      <c r="V33" t="s">
        <v>148</v>
      </c>
    </row>
    <row r="34" spans="20:22">
      <c r="T34" t="s">
        <v>106</v>
      </c>
      <c r="U34" t="s">
        <v>28</v>
      </c>
      <c r="V34" t="s">
        <v>149</v>
      </c>
    </row>
    <row r="35" spans="20:22">
      <c r="T35" t="s">
        <v>107</v>
      </c>
      <c r="U35" t="s">
        <v>22</v>
      </c>
      <c r="V35" t="s">
        <v>150</v>
      </c>
    </row>
    <row r="36" spans="20:22">
      <c r="T36" t="s">
        <v>108</v>
      </c>
      <c r="U36" t="s">
        <v>14</v>
      </c>
      <c r="V36" t="s">
        <v>151</v>
      </c>
    </row>
    <row r="37" spans="20:22">
      <c r="T37" t="s">
        <v>109</v>
      </c>
      <c r="U37" t="s">
        <v>48</v>
      </c>
      <c r="V37" t="s">
        <v>152</v>
      </c>
    </row>
    <row r="38" spans="20:22">
      <c r="T38" t="s">
        <v>110</v>
      </c>
      <c r="V38" t="s">
        <v>153</v>
      </c>
    </row>
    <row r="39" spans="20:22">
      <c r="T39" t="s">
        <v>111</v>
      </c>
      <c r="V39" t="s">
        <v>154</v>
      </c>
    </row>
    <row r="40" spans="20:22">
      <c r="T40" t="s">
        <v>112</v>
      </c>
      <c r="V40" t="s">
        <v>155</v>
      </c>
    </row>
    <row r="41" spans="20:22">
      <c r="T41" t="s">
        <v>113</v>
      </c>
      <c r="V41" t="s">
        <v>156</v>
      </c>
    </row>
    <row r="42" spans="20:22">
      <c r="T42" t="s">
        <v>114</v>
      </c>
      <c r="V42" t="s">
        <v>157</v>
      </c>
    </row>
    <row r="43" spans="20:22">
      <c r="T43" t="s">
        <v>115</v>
      </c>
      <c r="V43" t="s">
        <v>158</v>
      </c>
    </row>
    <row r="44" spans="20:22">
      <c r="T44" t="s">
        <v>116</v>
      </c>
      <c r="V44" t="s">
        <v>160</v>
      </c>
    </row>
    <row r="45" spans="20:22">
      <c r="V45" t="s">
        <v>161</v>
      </c>
    </row>
    <row r="46" spans="20:22">
      <c r="V46" t="s">
        <v>162</v>
      </c>
    </row>
    <row r="47" spans="20:22">
      <c r="V47" t="s">
        <v>163</v>
      </c>
    </row>
    <row r="48" spans="20:22">
      <c r="V48" t="s">
        <v>164</v>
      </c>
    </row>
    <row r="49" spans="11:22">
      <c r="V49" t="s">
        <v>165</v>
      </c>
    </row>
    <row r="50" spans="11:22">
      <c r="V50" t="s">
        <v>166</v>
      </c>
    </row>
    <row r="51" spans="11:22">
      <c r="V51" t="s">
        <v>167</v>
      </c>
    </row>
    <row r="52" spans="11:22">
      <c r="V52" t="s">
        <v>168</v>
      </c>
    </row>
    <row r="53" spans="11:22">
      <c r="V53" t="s">
        <v>169</v>
      </c>
    </row>
    <row r="54" spans="11:22">
      <c r="V54" t="s">
        <v>159</v>
      </c>
    </row>
    <row r="55" spans="11:22">
      <c r="V55" t="s">
        <v>174</v>
      </c>
    </row>
    <row r="61" spans="11:22">
      <c r="K61" s="6"/>
    </row>
    <row r="69" spans="6:6">
      <c r="F69" t="s">
        <v>177</v>
      </c>
    </row>
  </sheetData>
  <phoneticPr fontId="1"/>
  <conditionalFormatting sqref="C4:D31">
    <cfRule type="expression" dxfId="3" priority="1">
      <formula>$D4="ない"</formula>
    </cfRule>
    <cfRule type="expression" dxfId="2" priority="2">
      <formula>$D4="ある"</formula>
    </cfRule>
  </conditionalFormatting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pageSetUpPr fitToPage="1"/>
  </sheetPr>
  <dimension ref="A1:BZ345"/>
  <sheetViews>
    <sheetView topLeftCell="AH90" zoomScaleNormal="100" workbookViewId="0">
      <selection activeCell="AR114" sqref="AR114"/>
    </sheetView>
  </sheetViews>
  <sheetFormatPr defaultRowHeight="18.75"/>
  <cols>
    <col min="1" max="1" width="15.125" bestFit="1" customWidth="1"/>
    <col min="2" max="2" width="11.25" customWidth="1"/>
    <col min="3" max="3" width="9" style="4" bestFit="1" customWidth="1"/>
    <col min="4" max="4" width="12.75" bestFit="1" customWidth="1"/>
    <col min="5" max="5" width="12.75" customWidth="1"/>
    <col min="6" max="6" width="11.25" customWidth="1"/>
    <col min="7" max="7" width="4.125" customWidth="1"/>
    <col min="8" max="9" width="11.25" customWidth="1"/>
    <col min="10" max="12" width="5.5" customWidth="1"/>
    <col min="13" max="13" width="4.75" customWidth="1"/>
    <col min="14" max="14" width="5.5" customWidth="1"/>
    <col min="15" max="15" width="10.375" customWidth="1"/>
    <col min="16" max="16" width="4.75" customWidth="1"/>
    <col min="17" max="17" width="9.25" bestFit="1" customWidth="1"/>
    <col min="18" max="18" width="5.5" customWidth="1"/>
    <col min="19" max="19" width="5.5" bestFit="1" customWidth="1"/>
    <col min="20" max="21" width="10.5" bestFit="1" customWidth="1"/>
    <col min="22" max="23" width="11" bestFit="1" customWidth="1"/>
    <col min="24" max="24" width="10.5" bestFit="1" customWidth="1"/>
    <col min="25" max="31" width="10.5" customWidth="1"/>
    <col min="32" max="32" width="9.375" bestFit="1" customWidth="1"/>
    <col min="34" max="34" width="9" style="6"/>
    <col min="35" max="35" width="11.375" style="6" bestFit="1" customWidth="1"/>
    <col min="36" max="36" width="13" style="6" bestFit="1" customWidth="1"/>
    <col min="37" max="46" width="9" style="6"/>
    <col min="48" max="48" width="19" bestFit="1" customWidth="1"/>
    <col min="49" max="49" width="11.25" customWidth="1"/>
    <col min="50" max="78" width="11.375" customWidth="1"/>
  </cols>
  <sheetData>
    <row r="1" spans="1:78">
      <c r="A1" t="s">
        <v>58</v>
      </c>
      <c r="B1" t="s">
        <v>59</v>
      </c>
      <c r="F1" s="32" t="s">
        <v>61</v>
      </c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"/>
      <c r="S1" s="3"/>
      <c r="AH1"/>
      <c r="AI1"/>
      <c r="AJ1"/>
      <c r="AK1" t="s">
        <v>60</v>
      </c>
      <c r="AL1"/>
      <c r="AM1"/>
      <c r="AN1"/>
      <c r="AO1"/>
      <c r="AP1"/>
      <c r="AQ1"/>
      <c r="AR1"/>
      <c r="AS1"/>
      <c r="AT1"/>
      <c r="AW1" t="s">
        <v>64</v>
      </c>
      <c r="AX1" t="e">
        <f t="shared" ref="AX1:BD1" si="0">$A$2&amp;INDEX($D$4:$D$32,MATCH(AX$5,$B$4:$B$33,0))</f>
        <v>#N/A</v>
      </c>
      <c r="AY1" t="e">
        <f t="shared" si="0"/>
        <v>#N/A</v>
      </c>
      <c r="AZ1" t="e">
        <f t="shared" si="0"/>
        <v>#N/A</v>
      </c>
      <c r="BA1" t="e">
        <f t="shared" si="0"/>
        <v>#N/A</v>
      </c>
      <c r="BB1" t="e">
        <f t="shared" si="0"/>
        <v>#N/A</v>
      </c>
      <c r="BC1" t="e">
        <f t="shared" si="0"/>
        <v>#N/A</v>
      </c>
      <c r="BD1" t="e">
        <f t="shared" si="0"/>
        <v>#N/A</v>
      </c>
      <c r="BE1" t="e">
        <f t="shared" ref="BE1:BY1" si="1">$A$2&amp;INDEX($D$4:$D$32,MATCH(BE$5,$B$4:$B$33,0))</f>
        <v>#N/A</v>
      </c>
      <c r="BF1" t="e">
        <f t="shared" si="1"/>
        <v>#N/A</v>
      </c>
      <c r="BG1" t="e">
        <f t="shared" si="1"/>
        <v>#N/A</v>
      </c>
      <c r="BH1" t="e">
        <f t="shared" si="1"/>
        <v>#N/A</v>
      </c>
      <c r="BI1" t="e">
        <f t="shared" si="1"/>
        <v>#N/A</v>
      </c>
      <c r="BJ1" t="e">
        <f t="shared" si="1"/>
        <v>#N/A</v>
      </c>
      <c r="BK1" t="e">
        <f t="shared" si="1"/>
        <v>#N/A</v>
      </c>
      <c r="BL1" t="e">
        <f t="shared" si="1"/>
        <v>#N/A</v>
      </c>
      <c r="BM1" t="e">
        <f t="shared" si="1"/>
        <v>#N/A</v>
      </c>
      <c r="BN1" t="e">
        <f t="shared" si="1"/>
        <v>#N/A</v>
      </c>
      <c r="BO1" t="e">
        <f t="shared" si="1"/>
        <v>#N/A</v>
      </c>
      <c r="BP1" t="e">
        <f t="shared" si="1"/>
        <v>#N/A</v>
      </c>
      <c r="BQ1" t="e">
        <f t="shared" si="1"/>
        <v>#N/A</v>
      </c>
      <c r="BR1" t="e">
        <f t="shared" si="1"/>
        <v>#N/A</v>
      </c>
      <c r="BS1" t="e">
        <f t="shared" si="1"/>
        <v>#N/A</v>
      </c>
      <c r="BT1" t="e">
        <f t="shared" si="1"/>
        <v>#N/A</v>
      </c>
      <c r="BU1" t="e">
        <f t="shared" si="1"/>
        <v>#N/A</v>
      </c>
      <c r="BV1" t="e">
        <f t="shared" si="1"/>
        <v>#N/A</v>
      </c>
      <c r="BW1" t="e">
        <f t="shared" si="1"/>
        <v>#N/A</v>
      </c>
      <c r="BX1" t="e">
        <f t="shared" si="1"/>
        <v>#N/A</v>
      </c>
      <c r="BY1" t="e">
        <f t="shared" si="1"/>
        <v>#N/A</v>
      </c>
      <c r="BZ1" t="e">
        <f>$A$2&amp;INDEX($D$4:$D$32,MATCH(BZ$5,$B$4:$B$33,0))</f>
        <v>#N/A</v>
      </c>
    </row>
    <row r="2" spans="1:78">
      <c r="A2" s="7" t="s">
        <v>53</v>
      </c>
      <c r="B2" s="1">
        <f>MAX(テーブル1[日付])</f>
        <v>0</v>
      </c>
      <c r="F2" s="2" t="s">
        <v>3</v>
      </c>
      <c r="T2" s="32" t="s">
        <v>57</v>
      </c>
      <c r="U2" s="32"/>
      <c r="V2" s="32"/>
      <c r="W2" s="32"/>
      <c r="X2" s="32"/>
      <c r="Y2" s="32"/>
      <c r="Z2" s="32"/>
      <c r="AA2" s="32"/>
      <c r="AB2" s="32"/>
      <c r="AC2" s="3"/>
      <c r="AD2" s="3"/>
      <c r="AE2" s="3"/>
      <c r="AH2"/>
      <c r="AI2"/>
      <c r="AJ2"/>
      <c r="AK2" s="6">
        <v>1</v>
      </c>
      <c r="AL2" s="6">
        <v>2</v>
      </c>
      <c r="AM2" s="6">
        <v>3</v>
      </c>
      <c r="AN2" s="6">
        <v>4</v>
      </c>
      <c r="AO2" s="6">
        <v>5</v>
      </c>
      <c r="AP2" s="6">
        <v>6</v>
      </c>
      <c r="AQ2" s="6">
        <v>7</v>
      </c>
      <c r="AR2" s="6">
        <v>8</v>
      </c>
      <c r="AS2" s="6">
        <v>9</v>
      </c>
      <c r="AT2" s="6">
        <v>10</v>
      </c>
      <c r="AW2" t="s">
        <v>65</v>
      </c>
      <c r="AX2" t="e">
        <f t="shared" ref="AX2:BD2" si="2">$A$2&amp;INDEX($E$4:$E$32,MATCH(AX$5,$B$4:$B$33,0))</f>
        <v>#N/A</v>
      </c>
      <c r="AY2" t="e">
        <f t="shared" si="2"/>
        <v>#N/A</v>
      </c>
      <c r="AZ2" t="e">
        <f t="shared" si="2"/>
        <v>#N/A</v>
      </c>
      <c r="BA2" t="e">
        <f t="shared" si="2"/>
        <v>#N/A</v>
      </c>
      <c r="BB2" t="e">
        <f t="shared" si="2"/>
        <v>#N/A</v>
      </c>
      <c r="BC2" t="e">
        <f t="shared" si="2"/>
        <v>#N/A</v>
      </c>
      <c r="BD2" t="e">
        <f t="shared" si="2"/>
        <v>#N/A</v>
      </c>
      <c r="BE2" t="e">
        <f t="shared" ref="BE2:BZ2" si="3">$A$2&amp;INDEX($E$4:$E$32,MATCH(BE$5,$B$4:$B$33,0))</f>
        <v>#N/A</v>
      </c>
      <c r="BF2" t="e">
        <f t="shared" si="3"/>
        <v>#N/A</v>
      </c>
      <c r="BG2" t="e">
        <f t="shared" si="3"/>
        <v>#N/A</v>
      </c>
      <c r="BH2" t="e">
        <f t="shared" si="3"/>
        <v>#N/A</v>
      </c>
      <c r="BI2" t="e">
        <f t="shared" si="3"/>
        <v>#N/A</v>
      </c>
      <c r="BJ2" t="e">
        <f t="shared" si="3"/>
        <v>#N/A</v>
      </c>
      <c r="BK2" t="e">
        <f t="shared" si="3"/>
        <v>#N/A</v>
      </c>
      <c r="BL2" t="e">
        <f t="shared" si="3"/>
        <v>#N/A</v>
      </c>
      <c r="BM2" t="e">
        <f t="shared" si="3"/>
        <v>#N/A</v>
      </c>
      <c r="BN2" t="e">
        <f t="shared" si="3"/>
        <v>#N/A</v>
      </c>
      <c r="BO2" t="e">
        <f t="shared" si="3"/>
        <v>#N/A</v>
      </c>
      <c r="BP2" t="e">
        <f t="shared" si="3"/>
        <v>#N/A</v>
      </c>
      <c r="BQ2" t="e">
        <f t="shared" si="3"/>
        <v>#N/A</v>
      </c>
      <c r="BR2" t="e">
        <f t="shared" si="3"/>
        <v>#N/A</v>
      </c>
      <c r="BS2" t="e">
        <f t="shared" si="3"/>
        <v>#N/A</v>
      </c>
      <c r="BT2" t="e">
        <f t="shared" si="3"/>
        <v>#N/A</v>
      </c>
      <c r="BU2" t="e">
        <f t="shared" si="3"/>
        <v>#N/A</v>
      </c>
      <c r="BV2" t="e">
        <f t="shared" si="3"/>
        <v>#N/A</v>
      </c>
      <c r="BW2" t="e">
        <f t="shared" si="3"/>
        <v>#N/A</v>
      </c>
      <c r="BX2" t="e">
        <f t="shared" si="3"/>
        <v>#N/A</v>
      </c>
      <c r="BY2" t="e">
        <f t="shared" si="3"/>
        <v>#N/A</v>
      </c>
      <c r="BZ2" t="e">
        <f t="shared" si="3"/>
        <v>#N/A</v>
      </c>
    </row>
    <row r="3" spans="1:78">
      <c r="A3" s="1" t="s">
        <v>45</v>
      </c>
      <c r="B3" s="1" t="s">
        <v>0</v>
      </c>
      <c r="C3" s="4" t="s">
        <v>55</v>
      </c>
      <c r="D3" s="32" t="s">
        <v>56</v>
      </c>
      <c r="E3" s="32"/>
      <c r="F3" t="s">
        <v>202</v>
      </c>
      <c r="T3" s="5" t="str">
        <f t="shared" ref="T3:AE3" si="4">F3</f>
        <v>(空白)</v>
      </c>
      <c r="U3" s="5">
        <f t="shared" si="4"/>
        <v>0</v>
      </c>
      <c r="V3" s="5">
        <f t="shared" si="4"/>
        <v>0</v>
      </c>
      <c r="W3" s="5">
        <f t="shared" si="4"/>
        <v>0</v>
      </c>
      <c r="X3" s="5">
        <f t="shared" si="4"/>
        <v>0</v>
      </c>
      <c r="Y3" s="5">
        <f t="shared" si="4"/>
        <v>0</v>
      </c>
      <c r="Z3" s="5">
        <f t="shared" si="4"/>
        <v>0</v>
      </c>
      <c r="AA3" s="5">
        <f t="shared" si="4"/>
        <v>0</v>
      </c>
      <c r="AB3" s="5">
        <f t="shared" si="4"/>
        <v>0</v>
      </c>
      <c r="AC3" s="5">
        <f t="shared" si="4"/>
        <v>0</v>
      </c>
      <c r="AD3" s="5">
        <f t="shared" si="4"/>
        <v>0</v>
      </c>
      <c r="AE3" s="5">
        <f t="shared" si="4"/>
        <v>0</v>
      </c>
      <c r="AF3" s="5">
        <f t="shared" ref="AF3" si="5">R3</f>
        <v>0</v>
      </c>
      <c r="AG3" s="5">
        <f t="shared" ref="AG3" si="6">S3</f>
        <v>0</v>
      </c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78">
      <c r="A4">
        <v>0</v>
      </c>
      <c r="B4" s="1">
        <f>B2</f>
        <v>0</v>
      </c>
      <c r="C4" s="4" t="e">
        <f>MATCH(B4,テーブル1[日付],0)+1</f>
        <v>#N/A</v>
      </c>
      <c r="D4" t="e">
        <f>ADDRESS(C4,2,4,1)&amp;":"&amp;ADDRESS(C4+COUNTIF(テーブル1[日付],日毎の人員構成・人員別日毎の従事ライン!B4)-1,2,4,1)</f>
        <v>#N/A</v>
      </c>
      <c r="E4" t="e">
        <f>ADDRESS(C4,3,4,1)&amp;":"&amp;ADDRESS($C4+COUNTIF(テーブル1[日付],日毎の人員構成・人員別日毎の従事ライン!B4)-1,3,4,1)</f>
        <v>#N/A</v>
      </c>
      <c r="F4" s="4" t="e">
        <f ca="1">MATCH(F$3,INDIRECT($A$2&amp;$D4,TRUE),0)+$C4-1</f>
        <v>#N/A</v>
      </c>
      <c r="G4" s="4" t="e">
        <f t="shared" ref="G4:P19" ca="1" si="7">MATCH(G$3,INDIRECT($A$2&amp;$D4,TRUE),0)+$C4-1</f>
        <v>#N/A</v>
      </c>
      <c r="H4" s="4" t="e">
        <f t="shared" ca="1" si="7"/>
        <v>#N/A</v>
      </c>
      <c r="I4" s="4" t="e">
        <f t="shared" ca="1" si="7"/>
        <v>#N/A</v>
      </c>
      <c r="J4" s="4" t="e">
        <f t="shared" ca="1" si="7"/>
        <v>#N/A</v>
      </c>
      <c r="K4" s="4" t="e">
        <f t="shared" ca="1" si="7"/>
        <v>#N/A</v>
      </c>
      <c r="L4" s="4" t="e">
        <f ca="1">MATCH(L$3,INDIRECT($A$2&amp;$D4,TRUE),0)+$C4-1</f>
        <v>#N/A</v>
      </c>
      <c r="M4" s="4" t="e">
        <f t="shared" ca="1" si="7"/>
        <v>#N/A</v>
      </c>
      <c r="N4" s="4" t="e">
        <f t="shared" ref="N4:S4" ca="1" si="8">MATCH(N$3,INDIRECT($A$2&amp;$D4,TRUE),0)+$C4-1</f>
        <v>#N/A</v>
      </c>
      <c r="O4" s="4" t="e">
        <f t="shared" ca="1" si="8"/>
        <v>#N/A</v>
      </c>
      <c r="P4" s="4" t="e">
        <f t="shared" ca="1" si="8"/>
        <v>#N/A</v>
      </c>
      <c r="Q4" s="4" t="e">
        <f ca="1">MATCH(Q$3,INDIRECT($A$2&amp;$D4,TRUE),0)+$C4-1</f>
        <v>#N/A</v>
      </c>
      <c r="R4" s="4" t="e">
        <f ca="1">MATCH(R$3,INDIRECT($A$2&amp;$D4,TRUE),0)+$C4-1</f>
        <v>#N/A</v>
      </c>
      <c r="S4" s="4" t="e">
        <f t="shared" ca="1" si="8"/>
        <v>#N/A</v>
      </c>
      <c r="T4" t="e">
        <f ca="1">ADDRESS(F4,3,4,1,)&amp;":"&amp;ADDRESS(F4+COUNTIF(INDIRECT($A$2&amp;$D4,TRUE),T$3)+1-2,3,4,1)</f>
        <v>#N/A</v>
      </c>
      <c r="U4" t="e">
        <f t="shared" ref="U4:Z4" ca="1" si="9">ADDRESS(G4,3,4,1,)&amp;":"&amp;ADDRESS(G4+COUNTIF(INDIRECT($A$2&amp;$D4,TRUE),U$3)+1-2,3,4,1)</f>
        <v>#N/A</v>
      </c>
      <c r="V4" t="e">
        <f t="shared" ca="1" si="9"/>
        <v>#N/A</v>
      </c>
      <c r="W4" t="e">
        <f t="shared" ca="1" si="9"/>
        <v>#N/A</v>
      </c>
      <c r="X4" t="e">
        <f t="shared" ca="1" si="9"/>
        <v>#N/A</v>
      </c>
      <c r="Y4" t="e">
        <f t="shared" ca="1" si="9"/>
        <v>#N/A</v>
      </c>
      <c r="Z4" t="e">
        <f t="shared" ca="1" si="9"/>
        <v>#N/A</v>
      </c>
      <c r="AA4" t="e">
        <f ca="1">ADDRESS(M4,3,4,1,)&amp;":"&amp;ADDRESS(M4+COUNTIF(INDIRECT(A$2&amp;$D4,TRUE),AA$3)+1-2,3,4,1)</f>
        <v>#N/A</v>
      </c>
      <c r="AB4" t="e">
        <f ca="1">ADDRESS(N4,3,4,1,)&amp;":"&amp;ADDRESS(N4+COUNTIF(INDIRECT($A$2&amp;$D4,TRUE),AB$3)+1-2,3,4,1)</f>
        <v>#N/A</v>
      </c>
      <c r="AC4" t="e">
        <f ca="1">ADDRESS(O4,3,4,1,)&amp;":"&amp;ADDRESS(O4+COUNTIF(INDIRECT($A$2&amp;$D4,TRUE),AC$3)+1-2,3,4,1)</f>
        <v>#N/A</v>
      </c>
      <c r="AD4" t="e">
        <f ca="1">ADDRESS(P4,3,4,1,)&amp;":"&amp;ADDRESS(P4+COUNTIF(INDIRECT($A$2&amp;$D4,TRUE),AD$3)+1-2,3,4,1)</f>
        <v>#N/A</v>
      </c>
      <c r="AE4" t="e">
        <f ca="1">ADDRESS(Q4,3,4,1,)&amp;":"&amp;ADDRESS(Q4+COUNTIF(INDIRECT($A$2&amp;$D4,TRUE),AE$3)+1-2,3,4,1)</f>
        <v>#N/A</v>
      </c>
      <c r="AF4" t="e">
        <f ca="1">ADDRESS(R4,3,4,1,)&amp;":"&amp;ADDRESS(R4+COUNTIF(INDIRECT($A$2&amp;$D4,TRUE),AF$3)+1-2,3,4,1)</f>
        <v>#N/A</v>
      </c>
      <c r="AG4" t="e">
        <f t="shared" ref="AG4" ca="1" si="10">ADDRESS(S4,3,4,1,)&amp;":"&amp;ADDRESS(S4+COUNTIF(INDIRECT($A$2&amp;$D4,TRUE),AG$3)+1-2,3,4,1)</f>
        <v>#N/A</v>
      </c>
      <c r="AH4"/>
      <c r="AI4"/>
      <c r="AJ4"/>
      <c r="AK4"/>
      <c r="AL4"/>
      <c r="AM4"/>
      <c r="AN4"/>
      <c r="AO4"/>
      <c r="AP4"/>
      <c r="AQ4"/>
      <c r="AR4"/>
      <c r="AS4"/>
      <c r="AT4"/>
    </row>
    <row r="5" spans="1:78">
      <c r="A5">
        <v>-1</v>
      </c>
      <c r="B5" s="1">
        <f t="shared" ref="B5:B33" si="11">$B$2+A5</f>
        <v>-1</v>
      </c>
      <c r="C5" s="4" t="e">
        <f>MATCH(B5,テーブル1[日付],0)+1</f>
        <v>#N/A</v>
      </c>
      <c r="D5" t="e">
        <f>ADDRESS(C5,2,4,1)&amp;":"&amp;ADDRESS(C5+COUNTIF(テーブル1[日付],日毎の人員構成・人員別日毎の従事ライン!B5)-1,2,4,1)</f>
        <v>#N/A</v>
      </c>
      <c r="E5" t="e">
        <f>ADDRESS(C5,3,4,1)&amp;":"&amp;ADDRESS($C5+COUNTIF(テーブル1[日付],日毎の人員構成・人員別日毎の従事ライン!B5)-1,3,4,1)</f>
        <v>#N/A</v>
      </c>
      <c r="F5" s="4" t="e">
        <f ca="1">MATCH(F$3,INDIRECT($A$2&amp;$D5,TRUE),0)+$C5-1</f>
        <v>#N/A</v>
      </c>
      <c r="G5" s="4" t="e">
        <f t="shared" ref="F5:S32" ca="1" si="12">MATCH(G$3,INDIRECT($A$2&amp;$D5,TRUE),0)+$C5-1</f>
        <v>#N/A</v>
      </c>
      <c r="H5" s="4" t="e">
        <f ca="1">MATCH(H$3,INDIRECT($A$2&amp;$D5,TRUE),0)+$C5-1</f>
        <v>#N/A</v>
      </c>
      <c r="I5" s="4" t="e">
        <f t="shared" ca="1" si="12"/>
        <v>#N/A</v>
      </c>
      <c r="J5" s="4" t="e">
        <f t="shared" ca="1" si="12"/>
        <v>#N/A</v>
      </c>
      <c r="K5" s="4" t="e">
        <f t="shared" ca="1" si="12"/>
        <v>#N/A</v>
      </c>
      <c r="L5" s="4" t="e">
        <f t="shared" ca="1" si="12"/>
        <v>#N/A</v>
      </c>
      <c r="M5" s="4" t="e">
        <f t="shared" ca="1" si="7"/>
        <v>#N/A</v>
      </c>
      <c r="N5" s="4" t="e">
        <f t="shared" ca="1" si="7"/>
        <v>#N/A</v>
      </c>
      <c r="O5" s="4" t="e">
        <f t="shared" ca="1" si="7"/>
        <v>#N/A</v>
      </c>
      <c r="P5" s="4" t="e">
        <f t="shared" ca="1" si="7"/>
        <v>#N/A</v>
      </c>
      <c r="Q5" s="4" t="e">
        <f t="shared" ca="1" si="12"/>
        <v>#N/A</v>
      </c>
      <c r="R5" s="4" t="e">
        <f t="shared" ca="1" si="12"/>
        <v>#N/A</v>
      </c>
      <c r="S5" s="4" t="e">
        <f t="shared" ca="1" si="12"/>
        <v>#N/A</v>
      </c>
      <c r="T5" t="e">
        <f ca="1">ADDRESS(F5,3,4,1,)&amp;":"&amp;ADDRESS(F5+COUNTIF(INDIRECT($A$2&amp;$D5,TRUE),T$3)+1-2,3,4,1)</f>
        <v>#N/A</v>
      </c>
      <c r="U5" t="e">
        <f t="shared" ref="U5:U32" ca="1" si="13">ADDRESS(G5,3,4,1,)&amp;":"&amp;ADDRESS(G5+COUNTIF(INDIRECT($A$2&amp;$D5,TRUE),U$3)+1-2,3,4,1)</f>
        <v>#N/A</v>
      </c>
      <c r="V5" t="e">
        <f t="shared" ref="V5:V32" ca="1" si="14">ADDRESS(H5,3,4,1,)&amp;":"&amp;ADDRESS(H5+COUNTIF(INDIRECT($A$2&amp;$D5,TRUE),V$3)+1-2,3,4,1)</f>
        <v>#N/A</v>
      </c>
      <c r="W5" t="e">
        <f t="shared" ref="W5:W32" ca="1" si="15">ADDRESS(I5,3,4,1,)&amp;":"&amp;ADDRESS(I5+COUNTIF(INDIRECT($A$2&amp;$D5,TRUE),W$3)+1-2,3,4,1)</f>
        <v>#N/A</v>
      </c>
      <c r="X5" t="e">
        <f t="shared" ref="X5:X32" ca="1" si="16">ADDRESS(J5,3,4,1,)&amp;":"&amp;ADDRESS(J5+COUNTIF(INDIRECT($A$2&amp;$D5,TRUE),X$3)+1-2,3,4,1)</f>
        <v>#N/A</v>
      </c>
      <c r="Y5" t="e">
        <f t="shared" ref="Y5:Y32" ca="1" si="17">ADDRESS(K5,3,4,1,)&amp;":"&amp;ADDRESS(K5+COUNTIF(INDIRECT($A$2&amp;$D5,TRUE),Y$3)+1-2,3,4,1)</f>
        <v>#N/A</v>
      </c>
      <c r="Z5" t="e">
        <f t="shared" ref="Z5:Z32" ca="1" si="18">ADDRESS(L5,3,4,1,)&amp;":"&amp;ADDRESS(L5+COUNTIF(INDIRECT($A$2&amp;$D5,TRUE),Z$3)+1-2,3,4,1)</f>
        <v>#N/A</v>
      </c>
      <c r="AA5" t="e">
        <f ca="1">ADDRESS(M5,3,4,1,)&amp;":"&amp;ADDRESS(M5+COUNTIF(INDIRECT($A$2&amp;$D5,TRUE),AA$3)+1-2,3,4,1)</f>
        <v>#N/A</v>
      </c>
      <c r="AB5" t="e">
        <f t="shared" ref="AB5:AB32" ca="1" si="19">ADDRESS(Q5,3,4,1,)&amp;":"&amp;ADDRESS(Q5+COUNTIF(INDIRECT($A$2&amp;$D5,TRUE),AB$3)+1-2,3,4,1)</f>
        <v>#N/A</v>
      </c>
      <c r="AC5" t="e">
        <f t="shared" ref="AC5:AC32" ca="1" si="20">ADDRESS(O5,3,4,1,)&amp;":"&amp;ADDRESS(O5+COUNTIF(INDIRECT($A$2&amp;$D5,TRUE),AC$3)+1-2,3,4,1)</f>
        <v>#N/A</v>
      </c>
      <c r="AD5" t="e">
        <f t="shared" ref="AD5:AD32" ca="1" si="21">ADDRESS(P5,3,4,1,)&amp;":"&amp;ADDRESS(P5+COUNTIF(INDIRECT($A$2&amp;$D5,TRUE),AD$3)+1-2,3,4,1)</f>
        <v>#N/A</v>
      </c>
      <c r="AE5" t="e">
        <f t="shared" ref="AE5:AE32" ca="1" si="22">ADDRESS(Q5,3,4,1,)&amp;":"&amp;ADDRESS(Q5+COUNTIF(INDIRECT($A$2&amp;$D5,TRUE),AE$3)+1-2,3,4,1)</f>
        <v>#N/A</v>
      </c>
      <c r="AF5" t="e">
        <f t="shared" ref="AF5:AF54" ca="1" si="23">ADDRESS(R5,3,4,1,)&amp;":"&amp;ADDRESS(R5+COUNTIF(INDIRECT($A$2&amp;$D5,TRUE),AF$3)+1-2,3,4,1)</f>
        <v>#N/A</v>
      </c>
      <c r="AG5" t="e">
        <f t="shared" ref="AG5:AG54" ca="1" si="24">ADDRESS(S5,3,4,1,)&amp;":"&amp;ADDRESS(S5+COUNTIF(INDIRECT($A$2&amp;$D5,TRUE),AG$3)+1-2,3,4,1)</f>
        <v>#N/A</v>
      </c>
      <c r="AH5"/>
      <c r="AI5"/>
      <c r="AJ5"/>
      <c r="AK5"/>
      <c r="AL5"/>
      <c r="AM5"/>
      <c r="AN5"/>
      <c r="AO5"/>
      <c r="AP5"/>
      <c r="AQ5"/>
      <c r="AR5"/>
      <c r="AS5"/>
      <c r="AT5"/>
      <c r="AX5" s="18">
        <f>$B$2</f>
        <v>0</v>
      </c>
      <c r="AY5" s="18">
        <f t="shared" ref="AY5:BD5" si="25">AX5-1</f>
        <v>-1</v>
      </c>
      <c r="AZ5" s="18">
        <f t="shared" si="25"/>
        <v>-2</v>
      </c>
      <c r="BA5" s="18">
        <f t="shared" si="25"/>
        <v>-3</v>
      </c>
      <c r="BB5" s="18">
        <f t="shared" si="25"/>
        <v>-4</v>
      </c>
      <c r="BC5" s="18">
        <f t="shared" si="25"/>
        <v>-5</v>
      </c>
      <c r="BD5" s="18">
        <f t="shared" si="25"/>
        <v>-6</v>
      </c>
      <c r="BE5" s="18">
        <f t="shared" ref="BE5" si="26">BD5-1</f>
        <v>-7</v>
      </c>
      <c r="BF5" s="18">
        <f t="shared" ref="BF5" si="27">BE5-1</f>
        <v>-8</v>
      </c>
      <c r="BG5" s="18">
        <f t="shared" ref="BG5" si="28">BF5-1</f>
        <v>-9</v>
      </c>
      <c r="BH5" s="18">
        <f t="shared" ref="BH5" si="29">BG5-1</f>
        <v>-10</v>
      </c>
      <c r="BI5" s="18">
        <f t="shared" ref="BI5" si="30">BH5-1</f>
        <v>-11</v>
      </c>
      <c r="BJ5" s="18">
        <f t="shared" ref="BJ5" si="31">BI5-1</f>
        <v>-12</v>
      </c>
      <c r="BK5" s="18">
        <f t="shared" ref="BK5" si="32">BJ5-1</f>
        <v>-13</v>
      </c>
      <c r="BL5" s="18">
        <f t="shared" ref="BL5" si="33">BK5-1</f>
        <v>-14</v>
      </c>
      <c r="BM5" s="18">
        <f t="shared" ref="BM5" si="34">BL5-1</f>
        <v>-15</v>
      </c>
      <c r="BN5" s="18">
        <f t="shared" ref="BN5" si="35">BM5-1</f>
        <v>-16</v>
      </c>
      <c r="BO5" s="18">
        <f t="shared" ref="BO5" si="36">BN5-1</f>
        <v>-17</v>
      </c>
      <c r="BP5" s="18">
        <f t="shared" ref="BP5" si="37">BO5-1</f>
        <v>-18</v>
      </c>
      <c r="BQ5" s="18">
        <f t="shared" ref="BQ5" si="38">BP5-1</f>
        <v>-19</v>
      </c>
      <c r="BR5" s="18">
        <f t="shared" ref="BR5" si="39">BQ5-1</f>
        <v>-20</v>
      </c>
      <c r="BS5" s="18">
        <f t="shared" ref="BS5" si="40">BR5-1</f>
        <v>-21</v>
      </c>
      <c r="BT5" s="18">
        <f t="shared" ref="BT5" si="41">BS5-1</f>
        <v>-22</v>
      </c>
      <c r="BU5" s="18">
        <f t="shared" ref="BU5" si="42">BT5-1</f>
        <v>-23</v>
      </c>
      <c r="BV5" s="18">
        <f t="shared" ref="BV5" si="43">BU5-1</f>
        <v>-24</v>
      </c>
      <c r="BW5" s="18">
        <f t="shared" ref="BW5" si="44">BV5-1</f>
        <v>-25</v>
      </c>
      <c r="BX5" s="18">
        <f t="shared" ref="BX5" si="45">BW5-1</f>
        <v>-26</v>
      </c>
      <c r="BY5" s="18">
        <f t="shared" ref="BY5" si="46">BX5-1</f>
        <v>-27</v>
      </c>
      <c r="BZ5" s="18">
        <f t="shared" ref="BZ5" si="47">BY5-1</f>
        <v>-28</v>
      </c>
    </row>
    <row r="6" spans="1:78">
      <c r="A6">
        <v>-2</v>
      </c>
      <c r="B6" s="1">
        <f t="shared" si="11"/>
        <v>-2</v>
      </c>
      <c r="C6" s="4" t="e">
        <f>MATCH(B6,テーブル1[日付],0)+1</f>
        <v>#N/A</v>
      </c>
      <c r="D6" t="e">
        <f>ADDRESS(C6,2,4,1)&amp;":"&amp;ADDRESS(C6+COUNTIF(テーブル1[日付],日毎の人員構成・人員別日毎の従事ライン!B6)-1,2,4,1)</f>
        <v>#N/A</v>
      </c>
      <c r="E6" t="e">
        <f>ADDRESS(C6,3,4,1)&amp;":"&amp;ADDRESS($C6+COUNTIF(テーブル1[日付],日毎の人員構成・人員別日毎の従事ライン!B6)-1,3,4,1)</f>
        <v>#N/A</v>
      </c>
      <c r="F6" s="4" t="e">
        <f ca="1">MATCH(F$3,INDIRECT($A$2&amp;$D6,TRUE),0)+$C6-1</f>
        <v>#N/A</v>
      </c>
      <c r="G6" s="4" t="e">
        <f t="shared" ca="1" si="12"/>
        <v>#N/A</v>
      </c>
      <c r="H6" s="4" t="e">
        <f t="shared" ca="1" si="12"/>
        <v>#N/A</v>
      </c>
      <c r="I6" s="4" t="e">
        <f t="shared" ca="1" si="12"/>
        <v>#N/A</v>
      </c>
      <c r="J6" s="4" t="e">
        <f t="shared" ca="1" si="12"/>
        <v>#N/A</v>
      </c>
      <c r="K6" s="4" t="e">
        <f ca="1">MATCH(K$3,INDIRECT($A$2&amp;$D6,TRUE),0)+$C6-1</f>
        <v>#N/A</v>
      </c>
      <c r="L6" s="4" t="e">
        <f ca="1">MATCH(L$3,INDIRECT($A$2&amp;$D6,TRUE),0)+$C6-1</f>
        <v>#N/A</v>
      </c>
      <c r="M6" s="4" t="e">
        <f t="shared" ca="1" si="7"/>
        <v>#N/A</v>
      </c>
      <c r="N6" s="4" t="e">
        <f t="shared" ca="1" si="7"/>
        <v>#N/A</v>
      </c>
      <c r="O6" s="4" t="e">
        <f t="shared" ca="1" si="7"/>
        <v>#N/A</v>
      </c>
      <c r="P6" s="4" t="e">
        <f t="shared" ca="1" si="7"/>
        <v>#N/A</v>
      </c>
      <c r="Q6" s="4" t="e">
        <f t="shared" ca="1" si="12"/>
        <v>#N/A</v>
      </c>
      <c r="R6" s="4" t="e">
        <f t="shared" ca="1" si="12"/>
        <v>#N/A</v>
      </c>
      <c r="S6" s="4" t="e">
        <f t="shared" ca="1" si="12"/>
        <v>#N/A</v>
      </c>
      <c r="T6" t="e">
        <f t="shared" ref="T6:T32" ca="1" si="48">ADDRESS(F6,3,4,1,)&amp;":"&amp;ADDRESS(F6+COUNTIF(INDIRECT($A$2&amp;$D6,TRUE),T$3)+1-2,3,4,1)</f>
        <v>#N/A</v>
      </c>
      <c r="U6" t="e">
        <f t="shared" ca="1" si="13"/>
        <v>#N/A</v>
      </c>
      <c r="V6" t="e">
        <f t="shared" ca="1" si="14"/>
        <v>#N/A</v>
      </c>
      <c r="W6" t="e">
        <f t="shared" ca="1" si="15"/>
        <v>#N/A</v>
      </c>
      <c r="X6" t="e">
        <f t="shared" ca="1" si="16"/>
        <v>#N/A</v>
      </c>
      <c r="Y6" t="e">
        <f t="shared" ca="1" si="17"/>
        <v>#N/A</v>
      </c>
      <c r="Z6" t="e">
        <f t="shared" ca="1" si="18"/>
        <v>#N/A</v>
      </c>
      <c r="AA6" t="e">
        <f t="shared" ref="AA6:AA32" ca="1" si="49">ADDRESS(M6,3,4,1,)&amp;":"&amp;ADDRESS(M6+COUNTIF(INDIRECT($A$2&amp;$D6,TRUE),AA$3)+1-2,3,4,1)</f>
        <v>#N/A</v>
      </c>
      <c r="AB6" t="e">
        <f ca="1">ADDRESS(Q6,3,4,1,)&amp;":"&amp;ADDRESS(Q6+COUNTIF(INDIRECT($A$2&amp;$D6,TRUE),AB$3)+1-2,3,4,1)</f>
        <v>#N/A</v>
      </c>
      <c r="AC6" t="e">
        <f t="shared" ca="1" si="20"/>
        <v>#N/A</v>
      </c>
      <c r="AD6" t="e">
        <f t="shared" ca="1" si="21"/>
        <v>#N/A</v>
      </c>
      <c r="AE6" t="e">
        <f t="shared" ca="1" si="22"/>
        <v>#N/A</v>
      </c>
      <c r="AF6" t="e">
        <f t="shared" ca="1" si="23"/>
        <v>#N/A</v>
      </c>
      <c r="AG6" t="e">
        <f t="shared" ca="1" si="24"/>
        <v>#N/A</v>
      </c>
      <c r="AI6" t="s">
        <v>63</v>
      </c>
      <c r="AJ6" s="8">
        <f>B2</f>
        <v>0</v>
      </c>
      <c r="AK6" s="9" t="str">
        <f>" ("&amp;CHOOSE(WEEKDAY(AJ6,1),"日","月","火","水","木","金","土")&amp;")"</f>
        <v xml:space="preserve"> (土)</v>
      </c>
      <c r="AL6" s="10"/>
      <c r="AM6" s="10"/>
      <c r="AN6" s="10"/>
      <c r="AO6" s="10"/>
      <c r="AP6" s="10"/>
      <c r="AQ6" s="10"/>
      <c r="AR6" s="10"/>
      <c r="AS6" s="10"/>
      <c r="AT6" s="10"/>
      <c r="AW6" s="2" t="s">
        <v>5</v>
      </c>
      <c r="AX6" s="17" t="str">
        <f>CHOOSE(WEEKDAY(AX5,1),"日","月","火","水","木","金","土")</f>
        <v>土</v>
      </c>
      <c r="AY6" s="17" t="e">
        <f t="shared" ref="AY6:BD6" si="50">CHOOSE(WEEKDAY(AY5,1),"日","月","火","水","木","金","土")</f>
        <v>#NUM!</v>
      </c>
      <c r="AZ6" s="17" t="e">
        <f t="shared" si="50"/>
        <v>#NUM!</v>
      </c>
      <c r="BA6" s="17" t="e">
        <f t="shared" si="50"/>
        <v>#NUM!</v>
      </c>
      <c r="BB6" s="17" t="e">
        <f t="shared" si="50"/>
        <v>#NUM!</v>
      </c>
      <c r="BC6" s="17" t="e">
        <f t="shared" si="50"/>
        <v>#NUM!</v>
      </c>
      <c r="BD6" s="17" t="e">
        <f t="shared" si="50"/>
        <v>#NUM!</v>
      </c>
      <c r="BE6" s="17" t="e">
        <f t="shared" ref="BE6" si="51">CHOOSE(WEEKDAY(BE5,1),"日","月","火","水","木","金","土")</f>
        <v>#NUM!</v>
      </c>
      <c r="BF6" s="17" t="e">
        <f t="shared" ref="BF6" si="52">CHOOSE(WEEKDAY(BF5,1),"日","月","火","水","木","金","土")</f>
        <v>#NUM!</v>
      </c>
      <c r="BG6" s="17" t="e">
        <f t="shared" ref="BG6" si="53">CHOOSE(WEEKDAY(BG5,1),"日","月","火","水","木","金","土")</f>
        <v>#NUM!</v>
      </c>
      <c r="BH6" s="17" t="e">
        <f t="shared" ref="BH6" si="54">CHOOSE(WEEKDAY(BH5,1),"日","月","火","水","木","金","土")</f>
        <v>#NUM!</v>
      </c>
      <c r="BI6" s="17" t="e">
        <f t="shared" ref="BI6" si="55">CHOOSE(WEEKDAY(BI5,1),"日","月","火","水","木","金","土")</f>
        <v>#NUM!</v>
      </c>
      <c r="BJ6" s="17" t="e">
        <f t="shared" ref="BJ6" si="56">CHOOSE(WEEKDAY(BJ5,1),"日","月","火","水","木","金","土")</f>
        <v>#NUM!</v>
      </c>
      <c r="BK6" s="17" t="e">
        <f t="shared" ref="BK6" si="57">CHOOSE(WEEKDAY(BK5,1),"日","月","火","水","木","金","土")</f>
        <v>#NUM!</v>
      </c>
      <c r="BL6" s="17" t="e">
        <f t="shared" ref="BL6" si="58">CHOOSE(WEEKDAY(BL5,1),"日","月","火","水","木","金","土")</f>
        <v>#NUM!</v>
      </c>
      <c r="BM6" s="17" t="e">
        <f t="shared" ref="BM6" si="59">CHOOSE(WEEKDAY(BM5,1),"日","月","火","水","木","金","土")</f>
        <v>#NUM!</v>
      </c>
      <c r="BN6" s="17" t="e">
        <f t="shared" ref="BN6" si="60">CHOOSE(WEEKDAY(BN5,1),"日","月","火","水","木","金","土")</f>
        <v>#NUM!</v>
      </c>
      <c r="BO6" s="17" t="e">
        <f t="shared" ref="BO6" si="61">CHOOSE(WEEKDAY(BO5,1),"日","月","火","水","木","金","土")</f>
        <v>#NUM!</v>
      </c>
      <c r="BP6" s="17" t="e">
        <f t="shared" ref="BP6" si="62">CHOOSE(WEEKDAY(BP5,1),"日","月","火","水","木","金","土")</f>
        <v>#NUM!</v>
      </c>
      <c r="BQ6" s="17" t="e">
        <f t="shared" ref="BQ6" si="63">CHOOSE(WEEKDAY(BQ5,1),"日","月","火","水","木","金","土")</f>
        <v>#NUM!</v>
      </c>
      <c r="BR6" s="17" t="e">
        <f t="shared" ref="BR6" si="64">CHOOSE(WEEKDAY(BR5,1),"日","月","火","水","木","金","土")</f>
        <v>#NUM!</v>
      </c>
      <c r="BS6" s="17" t="e">
        <f t="shared" ref="BS6" si="65">CHOOSE(WEEKDAY(BS5,1),"日","月","火","水","木","金","土")</f>
        <v>#NUM!</v>
      </c>
      <c r="BT6" s="17" t="e">
        <f t="shared" ref="BT6" si="66">CHOOSE(WEEKDAY(BT5,1),"日","月","火","水","木","金","土")</f>
        <v>#NUM!</v>
      </c>
      <c r="BU6" s="17" t="e">
        <f t="shared" ref="BU6" si="67">CHOOSE(WEEKDAY(BU5,1),"日","月","火","水","木","金","土")</f>
        <v>#NUM!</v>
      </c>
      <c r="BV6" s="17" t="e">
        <f t="shared" ref="BV6" si="68">CHOOSE(WEEKDAY(BV5,1),"日","月","火","水","木","金","土")</f>
        <v>#NUM!</v>
      </c>
      <c r="BW6" s="17" t="e">
        <f t="shared" ref="BW6" si="69">CHOOSE(WEEKDAY(BW5,1),"日","月","火","水","木","金","土")</f>
        <v>#NUM!</v>
      </c>
      <c r="BX6" s="17" t="e">
        <f t="shared" ref="BX6" si="70">CHOOSE(WEEKDAY(BX5,1),"日","月","火","水","木","金","土")</f>
        <v>#NUM!</v>
      </c>
      <c r="BY6" s="17" t="e">
        <f t="shared" ref="BY6" si="71">CHOOSE(WEEKDAY(BY5,1),"日","月","火","水","木","金","土")</f>
        <v>#NUM!</v>
      </c>
      <c r="BZ6" s="17" t="e">
        <f t="shared" ref="BZ6" si="72">CHOOSE(WEEKDAY(BZ5,1),"日","月","火","水","木","金","土")</f>
        <v>#NUM!</v>
      </c>
    </row>
    <row r="7" spans="1:78">
      <c r="A7">
        <v>-3</v>
      </c>
      <c r="B7" s="1">
        <f t="shared" si="11"/>
        <v>-3</v>
      </c>
      <c r="C7" s="4" t="e">
        <f>MATCH(B7,テーブル1[日付],0)+1</f>
        <v>#N/A</v>
      </c>
      <c r="D7" t="e">
        <f>ADDRESS(C7,2,4,1)&amp;":"&amp;ADDRESS(C7+COUNTIF(テーブル1[日付],日毎の人員構成・人員別日毎の従事ライン!B7)-1,2,4,1)</f>
        <v>#N/A</v>
      </c>
      <c r="E7" t="e">
        <f>ADDRESS(C7,3,4,1)&amp;":"&amp;ADDRESS($C7+COUNTIF(テーブル1[日付],日毎の人員構成・人員別日毎の従事ライン!B7)-1,3,4,1)</f>
        <v>#N/A</v>
      </c>
      <c r="F7" s="4" t="e">
        <f t="shared" ca="1" si="12"/>
        <v>#N/A</v>
      </c>
      <c r="G7" s="4" t="e">
        <f t="shared" ca="1" si="12"/>
        <v>#N/A</v>
      </c>
      <c r="H7" s="4" t="e">
        <f t="shared" ca="1" si="12"/>
        <v>#N/A</v>
      </c>
      <c r="I7" s="4" t="e">
        <f t="shared" ca="1" si="12"/>
        <v>#N/A</v>
      </c>
      <c r="J7" s="4" t="e">
        <f t="shared" ca="1" si="12"/>
        <v>#N/A</v>
      </c>
      <c r="K7" s="4" t="e">
        <f t="shared" ca="1" si="12"/>
        <v>#N/A</v>
      </c>
      <c r="L7" s="4" t="e">
        <f t="shared" ca="1" si="12"/>
        <v>#N/A</v>
      </c>
      <c r="M7" s="4" t="e">
        <f t="shared" ca="1" si="7"/>
        <v>#N/A</v>
      </c>
      <c r="N7" s="4" t="e">
        <f t="shared" ca="1" si="7"/>
        <v>#N/A</v>
      </c>
      <c r="O7" s="4" t="e">
        <f t="shared" ca="1" si="7"/>
        <v>#N/A</v>
      </c>
      <c r="P7" s="4" t="e">
        <f t="shared" ca="1" si="7"/>
        <v>#N/A</v>
      </c>
      <c r="Q7" s="4" t="e">
        <f t="shared" ca="1" si="12"/>
        <v>#N/A</v>
      </c>
      <c r="R7" s="4" t="e">
        <f t="shared" ca="1" si="12"/>
        <v>#N/A</v>
      </c>
      <c r="S7" s="4" t="e">
        <f t="shared" ca="1" si="12"/>
        <v>#N/A</v>
      </c>
      <c r="T7" t="e">
        <f t="shared" ca="1" si="48"/>
        <v>#N/A</v>
      </c>
      <c r="U7" t="e">
        <f t="shared" ca="1" si="13"/>
        <v>#N/A</v>
      </c>
      <c r="V7" t="e">
        <f t="shared" ca="1" si="14"/>
        <v>#N/A</v>
      </c>
      <c r="W7" t="e">
        <f t="shared" ca="1" si="15"/>
        <v>#N/A</v>
      </c>
      <c r="X7" t="e">
        <f t="shared" ca="1" si="16"/>
        <v>#N/A</v>
      </c>
      <c r="Y7" t="e">
        <f t="shared" ca="1" si="17"/>
        <v>#N/A</v>
      </c>
      <c r="Z7" t="e">
        <f t="shared" ca="1" si="18"/>
        <v>#N/A</v>
      </c>
      <c r="AA7" t="e">
        <f t="shared" ca="1" si="49"/>
        <v>#N/A</v>
      </c>
      <c r="AB7" t="e">
        <f t="shared" ca="1" si="19"/>
        <v>#N/A</v>
      </c>
      <c r="AC7" t="e">
        <f t="shared" ca="1" si="20"/>
        <v>#N/A</v>
      </c>
      <c r="AD7" t="e">
        <f t="shared" ca="1" si="21"/>
        <v>#N/A</v>
      </c>
      <c r="AE7" t="e">
        <f t="shared" ca="1" si="22"/>
        <v>#N/A</v>
      </c>
      <c r="AF7" t="e">
        <f t="shared" ca="1" si="23"/>
        <v>#N/A</v>
      </c>
      <c r="AG7" t="e">
        <f t="shared" ca="1" si="24"/>
        <v>#N/A</v>
      </c>
      <c r="AH7" s="6">
        <v>1</v>
      </c>
      <c r="AI7" s="6" t="e">
        <f>INDEX($T$4:$AE$32,MATCH($AJ$6,$B$4:$B$34,0),MATCH($AJ7,$T$3:$AE$3,0))</f>
        <v>#N/A</v>
      </c>
      <c r="AJ7" s="6" t="s">
        <v>19</v>
      </c>
      <c r="AK7" s="6" t="str" cm="1">
        <f t="array" aca="1" ref="AK7" ca="1">IFERROR(INDEX(INDEX(INDIRECT($A$2&amp;$AI7,TRUE),0),AK$2),"")</f>
        <v/>
      </c>
      <c r="AL7" s="6" t="str" cm="1">
        <f t="array" aca="1" ref="AL7" ca="1">IFERROR(INDEX(INDEX(INDIRECT($A$2&amp;$AI7,TRUE),0),AL$2),"")</f>
        <v/>
      </c>
      <c r="AM7" s="6" t="str" cm="1">
        <f t="array" aca="1" ref="AM7" ca="1">IFERROR(INDEX(INDEX(INDIRECT($A$2&amp;$AI7,TRUE),0),AM$2),"")</f>
        <v/>
      </c>
      <c r="AN7" s="6" t="str" cm="1">
        <f t="array" aca="1" ref="AN7" ca="1">IFERROR(INDEX(INDEX(INDIRECT($A$2&amp;$AI7,TRUE),0),AN$2),"")</f>
        <v/>
      </c>
      <c r="AO7" s="6" t="str" cm="1">
        <f t="array" aca="1" ref="AO7" ca="1">IFERROR(INDEX(INDEX(INDIRECT($A$2&amp;$AI7,TRUE),0),AO$2),"")</f>
        <v/>
      </c>
      <c r="AP7" s="6" t="str" cm="1">
        <f t="array" aca="1" ref="AP7" ca="1">IFERROR(INDEX(INDEX(INDIRECT($A$2&amp;$AI7,TRUE),0),AP$2),"")</f>
        <v/>
      </c>
      <c r="AQ7" s="6" t="str" cm="1">
        <f t="array" aca="1" ref="AQ7" ca="1">IFERROR(INDEX(INDEX(INDIRECT($A$2&amp;$AI7,TRUE),0),AQ$2),"")</f>
        <v/>
      </c>
      <c r="AR7" s="6" t="str" cm="1">
        <f t="array" aca="1" ref="AR7" ca="1">IFERROR(INDEX(INDEX(INDIRECT($A$2&amp;$AI7,TRUE),0),AR$2),"")</f>
        <v/>
      </c>
      <c r="AS7" s="6" t="str" cm="1">
        <f t="array" aca="1" ref="AS7" ca="1">IFERROR(INDEX(INDEX(INDIRECT($A$2&amp;$AI7,TRUE),0),AS$2),"")</f>
        <v/>
      </c>
      <c r="AT7" s="6" t="str" cm="1">
        <f t="array" aca="1" ref="AT7" ca="1">IFERROR(INDEX(INDEX(INDIRECT($A$2&amp;$AI7,TRUE),0),AT$2),"")</f>
        <v/>
      </c>
      <c r="AW7" s="16" t="s">
        <v>202</v>
      </c>
      <c r="AX7" s="19" t="str">
        <f ca="1">IFERROR(INDEX(INDIRECT(AX$1,TRUE),MATCH($AW7,INDIRECT(AX$2,TRUE),0)),"")</f>
        <v/>
      </c>
      <c r="AY7" s="19" t="str">
        <f t="shared" ref="AY7:BN22" ca="1" si="73">IFERROR(INDEX(INDIRECT(AY$1,TRUE),MATCH($AW7,INDIRECT(AY$2,TRUE),0)),"")</f>
        <v/>
      </c>
      <c r="AZ7" s="19" t="str">
        <f t="shared" ca="1" si="73"/>
        <v/>
      </c>
      <c r="BA7" s="19" t="str">
        <f t="shared" ca="1" si="73"/>
        <v/>
      </c>
      <c r="BB7" s="19" t="str">
        <f t="shared" ca="1" si="73"/>
        <v/>
      </c>
      <c r="BC7" s="19" t="str">
        <f t="shared" ca="1" si="73"/>
        <v/>
      </c>
      <c r="BD7" s="19" t="str">
        <f t="shared" ca="1" si="73"/>
        <v/>
      </c>
      <c r="BE7" s="19" t="str">
        <f t="shared" ca="1" si="73"/>
        <v/>
      </c>
      <c r="BF7" s="19" t="str">
        <f t="shared" ca="1" si="73"/>
        <v/>
      </c>
      <c r="BG7" s="19" t="str">
        <f t="shared" ca="1" si="73"/>
        <v/>
      </c>
      <c r="BH7" s="19" t="str">
        <f t="shared" ca="1" si="73"/>
        <v/>
      </c>
      <c r="BI7" s="19" t="str">
        <f t="shared" ca="1" si="73"/>
        <v/>
      </c>
      <c r="BJ7" s="19" t="str">
        <f t="shared" ca="1" si="73"/>
        <v/>
      </c>
      <c r="BK7" s="19" t="str">
        <f t="shared" ca="1" si="73"/>
        <v/>
      </c>
      <c r="BL7" s="19" t="str">
        <f t="shared" ca="1" si="73"/>
        <v/>
      </c>
      <c r="BM7" s="19" t="str">
        <f t="shared" ca="1" si="73"/>
        <v/>
      </c>
      <c r="BN7" s="19" t="str">
        <f t="shared" ca="1" si="73"/>
        <v/>
      </c>
      <c r="BO7" s="19" t="str">
        <f t="shared" ref="BE7:BZ11" ca="1" si="74">IFERROR(INDEX(INDIRECT(BO$1,TRUE),MATCH($AW7,INDIRECT(BO$2,TRUE),0)),"")</f>
        <v/>
      </c>
      <c r="BP7" s="19" t="str">
        <f t="shared" ca="1" si="74"/>
        <v/>
      </c>
      <c r="BQ7" s="19" t="str">
        <f t="shared" ca="1" si="74"/>
        <v/>
      </c>
      <c r="BR7" s="19" t="str">
        <f t="shared" ca="1" si="74"/>
        <v/>
      </c>
      <c r="BS7" s="19" t="str">
        <f t="shared" ca="1" si="74"/>
        <v/>
      </c>
      <c r="BT7" s="19" t="str">
        <f t="shared" ca="1" si="74"/>
        <v/>
      </c>
      <c r="BU7" s="19" t="str">
        <f t="shared" ca="1" si="74"/>
        <v/>
      </c>
      <c r="BV7" s="19" t="str">
        <f t="shared" ca="1" si="74"/>
        <v/>
      </c>
      <c r="BW7" s="19" t="str">
        <f t="shared" ca="1" si="74"/>
        <v/>
      </c>
      <c r="BX7" s="19" t="str">
        <f t="shared" ca="1" si="74"/>
        <v/>
      </c>
      <c r="BY7" s="19" t="str">
        <f t="shared" ca="1" si="74"/>
        <v/>
      </c>
      <c r="BZ7" s="19" t="str">
        <f t="shared" ca="1" si="74"/>
        <v/>
      </c>
    </row>
    <row r="8" spans="1:78">
      <c r="A8">
        <v>-4</v>
      </c>
      <c r="B8" s="1">
        <f t="shared" si="11"/>
        <v>-4</v>
      </c>
      <c r="C8" s="4" t="e">
        <f>MATCH(B8,テーブル1[日付],0)+1</f>
        <v>#N/A</v>
      </c>
      <c r="D8" t="e">
        <f>ADDRESS(C8,2,4,1)&amp;":"&amp;ADDRESS(C8+COUNTIF(テーブル1[日付],日毎の人員構成・人員別日毎の従事ライン!B8)-1,2,4,1)</f>
        <v>#N/A</v>
      </c>
      <c r="E8" t="e">
        <f>ADDRESS(C8,3,4,1)&amp;":"&amp;ADDRESS($C8+COUNTIF(テーブル1[日付],日毎の人員構成・人員別日毎の従事ライン!B8)-1,3,4,1)</f>
        <v>#N/A</v>
      </c>
      <c r="F8" s="4" t="e">
        <f t="shared" ca="1" si="12"/>
        <v>#N/A</v>
      </c>
      <c r="G8" s="4" t="e">
        <f t="shared" ca="1" si="12"/>
        <v>#N/A</v>
      </c>
      <c r="H8" s="4" t="e">
        <f t="shared" ca="1" si="12"/>
        <v>#N/A</v>
      </c>
      <c r="I8" s="4" t="e">
        <f t="shared" ca="1" si="12"/>
        <v>#N/A</v>
      </c>
      <c r="J8" s="4" t="e">
        <f t="shared" ca="1" si="12"/>
        <v>#N/A</v>
      </c>
      <c r="K8" s="4" t="e">
        <f t="shared" ca="1" si="12"/>
        <v>#N/A</v>
      </c>
      <c r="L8" s="4" t="e">
        <f t="shared" ca="1" si="12"/>
        <v>#N/A</v>
      </c>
      <c r="M8" s="4" t="e">
        <f t="shared" ca="1" si="7"/>
        <v>#N/A</v>
      </c>
      <c r="N8" s="4" t="e">
        <f t="shared" ca="1" si="7"/>
        <v>#N/A</v>
      </c>
      <c r="O8" s="4" t="e">
        <f t="shared" ca="1" si="7"/>
        <v>#N/A</v>
      </c>
      <c r="P8" s="4" t="e">
        <f t="shared" ca="1" si="7"/>
        <v>#N/A</v>
      </c>
      <c r="Q8" s="4" t="e">
        <f t="shared" ca="1" si="12"/>
        <v>#N/A</v>
      </c>
      <c r="R8" s="4" t="e">
        <f t="shared" ca="1" si="12"/>
        <v>#N/A</v>
      </c>
      <c r="S8" s="4" t="e">
        <f t="shared" ca="1" si="12"/>
        <v>#N/A</v>
      </c>
      <c r="T8" t="e">
        <f t="shared" ca="1" si="48"/>
        <v>#N/A</v>
      </c>
      <c r="U8" t="e">
        <f t="shared" ca="1" si="13"/>
        <v>#N/A</v>
      </c>
      <c r="V8" t="e">
        <f t="shared" ca="1" si="14"/>
        <v>#N/A</v>
      </c>
      <c r="W8" t="e">
        <f t="shared" ca="1" si="15"/>
        <v>#N/A</v>
      </c>
      <c r="X8" t="e">
        <f t="shared" ca="1" si="16"/>
        <v>#N/A</v>
      </c>
      <c r="Y8" t="e">
        <f t="shared" ca="1" si="17"/>
        <v>#N/A</v>
      </c>
      <c r="Z8" t="e">
        <f t="shared" ca="1" si="18"/>
        <v>#N/A</v>
      </c>
      <c r="AA8" t="e">
        <f t="shared" ca="1" si="49"/>
        <v>#N/A</v>
      </c>
      <c r="AB8" t="e">
        <f t="shared" ca="1" si="19"/>
        <v>#N/A</v>
      </c>
      <c r="AC8" t="e">
        <f t="shared" ca="1" si="20"/>
        <v>#N/A</v>
      </c>
      <c r="AD8" t="e">
        <f t="shared" ca="1" si="21"/>
        <v>#N/A</v>
      </c>
      <c r="AE8" t="e">
        <f t="shared" ca="1" si="22"/>
        <v>#N/A</v>
      </c>
      <c r="AF8" t="e">
        <f t="shared" ca="1" si="23"/>
        <v>#N/A</v>
      </c>
      <c r="AG8" t="e">
        <f t="shared" ca="1" si="24"/>
        <v>#N/A</v>
      </c>
      <c r="AH8" s="6">
        <v>2</v>
      </c>
      <c r="AI8" s="6" t="e">
        <f>INDEX($T$4:$AE$32,MATCH($AJ$6,$B$4:$B$34,0),MATCH($AJ8,$T$3:$AE$3,0))</f>
        <v>#N/A</v>
      </c>
      <c r="AJ8" s="6" t="s">
        <v>24</v>
      </c>
      <c r="AK8" s="6" t="str" cm="1">
        <f t="array" aca="1" ref="AK8" ca="1">IFERROR(INDEX(INDEX(INDIRECT($A$2&amp;$AI8,TRUE),0),AK$2),"")</f>
        <v/>
      </c>
      <c r="AL8" s="6" t="str" cm="1">
        <f t="array" aca="1" ref="AL8" ca="1">IFERROR(INDEX(INDEX(INDIRECT($A$2&amp;$AI8,TRUE),0),AL$2),"")</f>
        <v/>
      </c>
      <c r="AM8" s="6" t="str" cm="1">
        <f t="array" aca="1" ref="AM8" ca="1">IFERROR(INDEX(INDEX(INDIRECT($A$2&amp;$AI8,TRUE),0),AM$2),"")</f>
        <v/>
      </c>
      <c r="AN8" s="6" t="str" cm="1">
        <f t="array" aca="1" ref="AN8" ca="1">IFERROR(INDEX(INDEX(INDIRECT($A$2&amp;$AI8,TRUE),0),AN$2),"")</f>
        <v/>
      </c>
      <c r="AO8" s="6" t="str" cm="1">
        <f t="array" aca="1" ref="AO8" ca="1">IFERROR(INDEX(INDEX(INDIRECT($A$2&amp;$AI8,TRUE),0),AO$2),"")</f>
        <v/>
      </c>
      <c r="AP8" s="6" t="str" cm="1">
        <f t="array" aca="1" ref="AP8" ca="1">IFERROR(INDEX(INDEX(INDIRECT($A$2&amp;$AI8,TRUE),0),AP$2),"")</f>
        <v/>
      </c>
      <c r="AQ8" s="6" t="str" cm="1">
        <f t="array" aca="1" ref="AQ8" ca="1">IFERROR(INDEX(INDEX(INDIRECT($A$2&amp;$AI8,TRUE),0),AQ$2),"")</f>
        <v/>
      </c>
      <c r="AR8" s="6" t="str" cm="1">
        <f t="array" aca="1" ref="AR8" ca="1">IFERROR(INDEX(INDEX(INDIRECT($A$2&amp;$AI8,TRUE),0),AR$2),"")</f>
        <v/>
      </c>
      <c r="AS8" s="6" t="str" cm="1">
        <f t="array" aca="1" ref="AS8" ca="1">IFERROR(INDEX(INDEX(INDIRECT($A$2&amp;$AI8,TRUE),0),AS$2),"")</f>
        <v/>
      </c>
      <c r="AT8" s="6" t="str" cm="1">
        <f t="array" aca="1" ref="AT8" ca="1">IFERROR(INDEX(INDEX(INDIRECT($A$2&amp;$AI8,TRUE),0),AT$2),"")</f>
        <v/>
      </c>
      <c r="AX8" s="11" t="str">
        <f t="shared" ref="AX8:BM44" ca="1" si="75">IFERROR(INDEX(INDIRECT(AX$1,TRUE),MATCH($AW8,INDIRECT(AX$2,TRUE),0)),"")</f>
        <v/>
      </c>
      <c r="AY8" s="11" t="str">
        <f t="shared" ca="1" si="73"/>
        <v/>
      </c>
      <c r="AZ8" s="11" t="str">
        <f t="shared" ca="1" si="73"/>
        <v/>
      </c>
      <c r="BA8" s="11" t="str">
        <f t="shared" ca="1" si="73"/>
        <v/>
      </c>
      <c r="BB8" s="11" t="str">
        <f t="shared" ca="1" si="73"/>
        <v/>
      </c>
      <c r="BC8" s="11" t="str">
        <f t="shared" ca="1" si="73"/>
        <v/>
      </c>
      <c r="BD8" s="11" t="str">
        <f t="shared" ca="1" si="73"/>
        <v/>
      </c>
      <c r="BE8" s="11" t="str">
        <f t="shared" ca="1" si="74"/>
        <v/>
      </c>
      <c r="BF8" s="11" t="str">
        <f t="shared" ca="1" si="74"/>
        <v/>
      </c>
      <c r="BG8" s="11" t="str">
        <f t="shared" ca="1" si="74"/>
        <v/>
      </c>
      <c r="BH8" s="11" t="str">
        <f t="shared" ca="1" si="74"/>
        <v/>
      </c>
      <c r="BI8" s="11" t="str">
        <f t="shared" ca="1" si="74"/>
        <v/>
      </c>
      <c r="BJ8" s="11" t="str">
        <f t="shared" ca="1" si="74"/>
        <v/>
      </c>
      <c r="BK8" s="11" t="str">
        <f t="shared" ca="1" si="74"/>
        <v/>
      </c>
      <c r="BL8" s="11" t="str">
        <f t="shared" ca="1" si="74"/>
        <v/>
      </c>
      <c r="BM8" s="11" t="str">
        <f t="shared" ca="1" si="74"/>
        <v/>
      </c>
      <c r="BN8" s="11" t="str">
        <f t="shared" ca="1" si="74"/>
        <v/>
      </c>
      <c r="BO8" s="11" t="str">
        <f t="shared" ca="1" si="74"/>
        <v/>
      </c>
      <c r="BP8" s="11" t="str">
        <f t="shared" ca="1" si="74"/>
        <v/>
      </c>
      <c r="BQ8" s="11" t="str">
        <f t="shared" ca="1" si="74"/>
        <v/>
      </c>
      <c r="BR8" s="11" t="str">
        <f t="shared" ca="1" si="74"/>
        <v/>
      </c>
      <c r="BS8" s="11" t="str">
        <f t="shared" ca="1" si="74"/>
        <v/>
      </c>
      <c r="BT8" s="11" t="str">
        <f t="shared" ca="1" si="74"/>
        <v/>
      </c>
      <c r="BU8" s="11" t="str">
        <f t="shared" ca="1" si="74"/>
        <v/>
      </c>
      <c r="BV8" s="11" t="str">
        <f t="shared" ca="1" si="74"/>
        <v/>
      </c>
      <c r="BW8" s="11" t="str">
        <f t="shared" ca="1" si="74"/>
        <v/>
      </c>
      <c r="BX8" s="11" t="str">
        <f t="shared" ca="1" si="74"/>
        <v/>
      </c>
      <c r="BY8" s="11" t="str">
        <f t="shared" ca="1" si="74"/>
        <v/>
      </c>
      <c r="BZ8" s="11" t="str">
        <f t="shared" ca="1" si="74"/>
        <v/>
      </c>
    </row>
    <row r="9" spans="1:78">
      <c r="A9">
        <v>-5</v>
      </c>
      <c r="B9" s="1">
        <f t="shared" si="11"/>
        <v>-5</v>
      </c>
      <c r="C9" s="4" t="e">
        <f>MATCH(B9,テーブル1[日付],0)+1</f>
        <v>#N/A</v>
      </c>
      <c r="D9" t="e">
        <f>ADDRESS(C9,2,4,1)&amp;":"&amp;ADDRESS(C9+COUNTIF(テーブル1[日付],日毎の人員構成・人員別日毎の従事ライン!B9)-1,2,4,1)</f>
        <v>#N/A</v>
      </c>
      <c r="E9" t="e">
        <f>ADDRESS(C9,3,4,1)&amp;":"&amp;ADDRESS($C9+COUNTIF(テーブル1[日付],日毎の人員構成・人員別日毎の従事ライン!B9)-1,3,4,1)</f>
        <v>#N/A</v>
      </c>
      <c r="F9" s="4" t="e">
        <f t="shared" ca="1" si="12"/>
        <v>#N/A</v>
      </c>
      <c r="G9" s="4" t="e">
        <f t="shared" ca="1" si="12"/>
        <v>#N/A</v>
      </c>
      <c r="H9" s="4" t="e">
        <f t="shared" ca="1" si="12"/>
        <v>#N/A</v>
      </c>
      <c r="I9" s="4" t="e">
        <f t="shared" ca="1" si="12"/>
        <v>#N/A</v>
      </c>
      <c r="J9" s="4" t="e">
        <f t="shared" ca="1" si="12"/>
        <v>#N/A</v>
      </c>
      <c r="K9" s="4" t="e">
        <f t="shared" ca="1" si="12"/>
        <v>#N/A</v>
      </c>
      <c r="L9" s="4" t="e">
        <f t="shared" ca="1" si="12"/>
        <v>#N/A</v>
      </c>
      <c r="M9" s="4" t="e">
        <f t="shared" ca="1" si="7"/>
        <v>#N/A</v>
      </c>
      <c r="N9" s="4" t="e">
        <f t="shared" ca="1" si="7"/>
        <v>#N/A</v>
      </c>
      <c r="O9" s="4" t="e">
        <f t="shared" ca="1" si="7"/>
        <v>#N/A</v>
      </c>
      <c r="P9" s="4" t="e">
        <f t="shared" ca="1" si="7"/>
        <v>#N/A</v>
      </c>
      <c r="Q9" s="4" t="e">
        <f t="shared" ca="1" si="12"/>
        <v>#N/A</v>
      </c>
      <c r="R9" s="4" t="e">
        <f t="shared" ca="1" si="12"/>
        <v>#N/A</v>
      </c>
      <c r="S9" s="4" t="e">
        <f t="shared" ca="1" si="12"/>
        <v>#N/A</v>
      </c>
      <c r="T9" t="e">
        <f t="shared" ca="1" si="48"/>
        <v>#N/A</v>
      </c>
      <c r="U9" t="e">
        <f t="shared" ca="1" si="13"/>
        <v>#N/A</v>
      </c>
      <c r="V9" t="e">
        <f t="shared" ca="1" si="14"/>
        <v>#N/A</v>
      </c>
      <c r="W9" t="e">
        <f t="shared" ca="1" si="15"/>
        <v>#N/A</v>
      </c>
      <c r="X9" t="e">
        <f t="shared" ca="1" si="16"/>
        <v>#N/A</v>
      </c>
      <c r="Y9" t="e">
        <f t="shared" ca="1" si="17"/>
        <v>#N/A</v>
      </c>
      <c r="Z9" t="e">
        <f t="shared" ca="1" si="18"/>
        <v>#N/A</v>
      </c>
      <c r="AA9" t="e">
        <f t="shared" ca="1" si="49"/>
        <v>#N/A</v>
      </c>
      <c r="AB9" t="e">
        <f t="shared" ca="1" si="19"/>
        <v>#N/A</v>
      </c>
      <c r="AC9" t="e">
        <f t="shared" ca="1" si="20"/>
        <v>#N/A</v>
      </c>
      <c r="AD9" t="e">
        <f t="shared" ca="1" si="21"/>
        <v>#N/A</v>
      </c>
      <c r="AE9" t="e">
        <f t="shared" ca="1" si="22"/>
        <v>#N/A</v>
      </c>
      <c r="AF9" t="e">
        <f t="shared" ca="1" si="23"/>
        <v>#N/A</v>
      </c>
      <c r="AG9" t="e">
        <f t="shared" ca="1" si="24"/>
        <v>#N/A</v>
      </c>
      <c r="AH9" s="6">
        <v>3</v>
      </c>
      <c r="AI9" s="6" t="e">
        <f t="shared" ref="AI9:AI12" si="76">INDEX($T$4:$AE$32,MATCH($AJ$6,$B$4:$B$34,0),MATCH($AJ9,$T$3:$AE$3,0))</f>
        <v>#N/A</v>
      </c>
      <c r="AJ9" s="6" t="s">
        <v>11</v>
      </c>
      <c r="AK9" s="6" t="str" cm="1">
        <f t="array" aca="1" ref="AK9" ca="1">IFERROR(INDEX(INDEX(INDIRECT($A$2&amp;$AI9,TRUE),0),AK$2),"")</f>
        <v/>
      </c>
      <c r="AL9" s="6" t="str" cm="1">
        <f t="array" aca="1" ref="AL9" ca="1">IFERROR(INDEX(INDEX(INDIRECT($A$2&amp;$AI9,TRUE),0),AL$2),"")</f>
        <v/>
      </c>
      <c r="AM9" s="6" t="str" cm="1">
        <f t="array" aca="1" ref="AM9" ca="1">IFERROR(INDEX(INDEX(INDIRECT($A$2&amp;$AI9,TRUE),0),AM$2),"")</f>
        <v/>
      </c>
      <c r="AN9" s="6" t="str" cm="1">
        <f t="array" aca="1" ref="AN9" ca="1">IFERROR(INDEX(INDEX(INDIRECT($A$2&amp;$AI9,TRUE),0),AN$2),"")</f>
        <v/>
      </c>
      <c r="AO9" s="6" t="str" cm="1">
        <f t="array" aca="1" ref="AO9" ca="1">IFERROR(INDEX(INDEX(INDIRECT($A$2&amp;$AI9,TRUE),0),AO$2),"")</f>
        <v/>
      </c>
      <c r="AP9" s="6" t="str" cm="1">
        <f t="array" aca="1" ref="AP9" ca="1">IFERROR(INDEX(INDEX(INDIRECT($A$2&amp;$AI9,TRUE),0),AP$2),"")</f>
        <v/>
      </c>
      <c r="AQ9" s="6" t="str" cm="1">
        <f t="array" aca="1" ref="AQ9" ca="1">IFERROR(INDEX(INDEX(INDIRECT($A$2&amp;$AI9,TRUE),0),AQ$2),"")</f>
        <v/>
      </c>
      <c r="AR9" s="6" t="str" cm="1">
        <f t="array" aca="1" ref="AR9" ca="1">IFERROR(INDEX(INDEX(INDIRECT($A$2&amp;$AI9,TRUE),0),AR$2),"")</f>
        <v/>
      </c>
      <c r="AS9" s="6" t="str" cm="1">
        <f t="array" aca="1" ref="AS9" ca="1">IFERROR(INDEX(INDEX(INDIRECT($A$2&amp;$AI9,TRUE),0),AS$2),"")</f>
        <v/>
      </c>
      <c r="AT9" s="6" t="str" cm="1">
        <f t="array" aca="1" ref="AT9" ca="1">IFERROR(INDEX(INDEX(INDIRECT($A$2&amp;$AI9,TRUE),0),AT$2),"")</f>
        <v/>
      </c>
      <c r="AX9" s="11" t="str">
        <f t="shared" ca="1" si="75"/>
        <v/>
      </c>
      <c r="AY9" s="11" t="str">
        <f t="shared" ca="1" si="73"/>
        <v/>
      </c>
      <c r="AZ9" s="11" t="str">
        <f t="shared" ca="1" si="73"/>
        <v/>
      </c>
      <c r="BA9" s="11" t="str">
        <f t="shared" ca="1" si="73"/>
        <v/>
      </c>
      <c r="BB9" s="11" t="str">
        <f t="shared" ca="1" si="73"/>
        <v/>
      </c>
      <c r="BC9" s="11" t="str">
        <f t="shared" ca="1" si="73"/>
        <v/>
      </c>
      <c r="BD9" s="11" t="str">
        <f t="shared" ca="1" si="73"/>
        <v/>
      </c>
      <c r="BE9" s="11" t="str">
        <f t="shared" ca="1" si="74"/>
        <v/>
      </c>
      <c r="BF9" s="11" t="str">
        <f t="shared" ca="1" si="74"/>
        <v/>
      </c>
      <c r="BG9" s="11" t="str">
        <f t="shared" ca="1" si="74"/>
        <v/>
      </c>
      <c r="BH9" s="11" t="str">
        <f t="shared" ca="1" si="74"/>
        <v/>
      </c>
      <c r="BI9" s="11" t="str">
        <f t="shared" ca="1" si="74"/>
        <v/>
      </c>
      <c r="BJ9" s="11" t="str">
        <f t="shared" ca="1" si="74"/>
        <v/>
      </c>
      <c r="BK9" s="11" t="str">
        <f t="shared" ca="1" si="74"/>
        <v/>
      </c>
      <c r="BL9" s="11" t="str">
        <f t="shared" ca="1" si="74"/>
        <v/>
      </c>
      <c r="BM9" s="11" t="str">
        <f t="shared" ca="1" si="74"/>
        <v/>
      </c>
      <c r="BN9" s="11" t="str">
        <f t="shared" ca="1" si="74"/>
        <v/>
      </c>
      <c r="BO9" s="11" t="str">
        <f t="shared" ca="1" si="74"/>
        <v/>
      </c>
      <c r="BP9" s="11" t="str">
        <f t="shared" ca="1" si="74"/>
        <v/>
      </c>
      <c r="BQ9" s="11" t="str">
        <f t="shared" ca="1" si="74"/>
        <v/>
      </c>
      <c r="BR9" s="11" t="str">
        <f t="shared" ca="1" si="74"/>
        <v/>
      </c>
      <c r="BS9" s="11" t="str">
        <f t="shared" ca="1" si="74"/>
        <v/>
      </c>
      <c r="BT9" s="11" t="str">
        <f t="shared" ca="1" si="74"/>
        <v/>
      </c>
      <c r="BU9" s="11" t="str">
        <f t="shared" ca="1" si="74"/>
        <v/>
      </c>
      <c r="BV9" s="11" t="str">
        <f t="shared" ca="1" si="74"/>
        <v/>
      </c>
      <c r="BW9" s="11" t="str">
        <f t="shared" ca="1" si="74"/>
        <v/>
      </c>
      <c r="BX9" s="11" t="str">
        <f t="shared" ca="1" si="74"/>
        <v/>
      </c>
      <c r="BY9" s="11" t="str">
        <f t="shared" ca="1" si="74"/>
        <v/>
      </c>
      <c r="BZ9" s="11" t="str">
        <f t="shared" ca="1" si="74"/>
        <v/>
      </c>
    </row>
    <row r="10" spans="1:78">
      <c r="A10">
        <v>-6</v>
      </c>
      <c r="B10" s="1">
        <f t="shared" si="11"/>
        <v>-6</v>
      </c>
      <c r="C10" s="4" t="e">
        <f>MATCH(B10,テーブル1[日付],0)+1</f>
        <v>#N/A</v>
      </c>
      <c r="D10" t="e">
        <f>ADDRESS(C10,2,4,1)&amp;":"&amp;ADDRESS(C10+COUNTIF(テーブル1[日付],日毎の人員構成・人員別日毎の従事ライン!B10)-1,2,4,1)</f>
        <v>#N/A</v>
      </c>
      <c r="E10" t="e">
        <f>ADDRESS(C10,3,4,1)&amp;":"&amp;ADDRESS($C10+COUNTIF(テーブル1[日付],日毎の人員構成・人員別日毎の従事ライン!B10)-1,3,4,1)</f>
        <v>#N/A</v>
      </c>
      <c r="F10" s="4" t="e">
        <f t="shared" ca="1" si="12"/>
        <v>#N/A</v>
      </c>
      <c r="G10" s="4" t="e">
        <f t="shared" ca="1" si="12"/>
        <v>#N/A</v>
      </c>
      <c r="H10" s="4" t="e">
        <f t="shared" ca="1" si="12"/>
        <v>#N/A</v>
      </c>
      <c r="I10" s="4" t="e">
        <f t="shared" ca="1" si="12"/>
        <v>#N/A</v>
      </c>
      <c r="J10" s="4" t="e">
        <f t="shared" ca="1" si="12"/>
        <v>#N/A</v>
      </c>
      <c r="K10" s="4" t="e">
        <f t="shared" ca="1" si="12"/>
        <v>#N/A</v>
      </c>
      <c r="L10" s="4" t="e">
        <f t="shared" ca="1" si="12"/>
        <v>#N/A</v>
      </c>
      <c r="M10" s="4" t="e">
        <f t="shared" ca="1" si="7"/>
        <v>#N/A</v>
      </c>
      <c r="N10" s="4" t="e">
        <f t="shared" ca="1" si="7"/>
        <v>#N/A</v>
      </c>
      <c r="O10" s="4" t="e">
        <f t="shared" ca="1" si="7"/>
        <v>#N/A</v>
      </c>
      <c r="P10" s="4" t="e">
        <f t="shared" ca="1" si="7"/>
        <v>#N/A</v>
      </c>
      <c r="Q10" s="4" t="e">
        <f t="shared" ca="1" si="12"/>
        <v>#N/A</v>
      </c>
      <c r="R10" s="4" t="e">
        <f t="shared" ca="1" si="12"/>
        <v>#N/A</v>
      </c>
      <c r="S10" s="4" t="e">
        <f t="shared" ca="1" si="12"/>
        <v>#N/A</v>
      </c>
      <c r="T10" t="e">
        <f t="shared" ca="1" si="48"/>
        <v>#N/A</v>
      </c>
      <c r="U10" t="e">
        <f t="shared" ca="1" si="13"/>
        <v>#N/A</v>
      </c>
      <c r="V10" t="e">
        <f t="shared" ca="1" si="14"/>
        <v>#N/A</v>
      </c>
      <c r="W10" t="e">
        <f t="shared" ca="1" si="15"/>
        <v>#N/A</v>
      </c>
      <c r="X10" t="e">
        <f t="shared" ca="1" si="16"/>
        <v>#N/A</v>
      </c>
      <c r="Y10" t="e">
        <f t="shared" ca="1" si="17"/>
        <v>#N/A</v>
      </c>
      <c r="Z10" t="e">
        <f t="shared" ca="1" si="18"/>
        <v>#N/A</v>
      </c>
      <c r="AA10" t="e">
        <f t="shared" ca="1" si="49"/>
        <v>#N/A</v>
      </c>
      <c r="AB10" t="e">
        <f t="shared" ca="1" si="19"/>
        <v>#N/A</v>
      </c>
      <c r="AC10" t="e">
        <f t="shared" ca="1" si="20"/>
        <v>#N/A</v>
      </c>
      <c r="AD10" t="e">
        <f t="shared" ca="1" si="21"/>
        <v>#N/A</v>
      </c>
      <c r="AE10" t="e">
        <f t="shared" ca="1" si="22"/>
        <v>#N/A</v>
      </c>
      <c r="AF10" t="e">
        <f t="shared" ca="1" si="23"/>
        <v>#N/A</v>
      </c>
      <c r="AG10" t="e">
        <f t="shared" ca="1" si="24"/>
        <v>#N/A</v>
      </c>
      <c r="AH10" s="6">
        <v>4</v>
      </c>
      <c r="AI10" s="6" t="e">
        <f t="shared" si="76"/>
        <v>#N/A</v>
      </c>
      <c r="AJ10" s="6" t="s">
        <v>32</v>
      </c>
      <c r="AK10" s="6" t="str" cm="1">
        <f t="array" aca="1" ref="AK10" ca="1">IFERROR(INDEX(INDEX(INDIRECT($A$2&amp;$AI10,TRUE),0),AK$2),"")</f>
        <v/>
      </c>
      <c r="AL10" s="6" t="str" cm="1">
        <f t="array" aca="1" ref="AL10" ca="1">IFERROR(INDEX(INDEX(INDIRECT($A$2&amp;$AI10,TRUE),0),AL$2),"")</f>
        <v/>
      </c>
      <c r="AM10" s="6" t="str" cm="1">
        <f t="array" aca="1" ref="AM10" ca="1">IFERROR(INDEX(INDEX(INDIRECT($A$2&amp;$AI10,TRUE),0),AM$2),"")</f>
        <v/>
      </c>
      <c r="AN10" s="6" t="str" cm="1">
        <f t="array" aca="1" ref="AN10" ca="1">IFERROR(INDEX(INDEX(INDIRECT($A$2&amp;$AI10,TRUE),0),AN$2),"")</f>
        <v/>
      </c>
      <c r="AO10" s="6" t="str" cm="1">
        <f t="array" aca="1" ref="AO10" ca="1">IFERROR(INDEX(INDEX(INDIRECT($A$2&amp;$AI10,TRUE),0),AO$2),"")</f>
        <v/>
      </c>
      <c r="AP10" s="6" t="str" cm="1">
        <f t="array" aca="1" ref="AP10" ca="1">IFERROR(INDEX(INDEX(INDIRECT($A$2&amp;$AI10,TRUE),0),AP$2),"")</f>
        <v/>
      </c>
      <c r="AQ10" s="6" t="str" cm="1">
        <f t="array" aca="1" ref="AQ10" ca="1">IFERROR(INDEX(INDEX(INDIRECT($A$2&amp;$AI10,TRUE),0),AQ$2),"")</f>
        <v/>
      </c>
      <c r="AR10" s="6" t="str" cm="1">
        <f t="array" aca="1" ref="AR10" ca="1">IFERROR(INDEX(INDEX(INDIRECT($A$2&amp;$AI10,TRUE),0),AR$2),"")</f>
        <v/>
      </c>
      <c r="AS10" s="6" t="str" cm="1">
        <f t="array" aca="1" ref="AS10" ca="1">IFERROR(INDEX(INDEX(INDIRECT($A$2&amp;$AI10,TRUE),0),AS$2),"")</f>
        <v/>
      </c>
      <c r="AT10" s="6" t="str" cm="1">
        <f t="array" aca="1" ref="AT10" ca="1">IFERROR(INDEX(INDEX(INDIRECT($A$2&amp;$AI10,TRUE),0),AT$2),"")</f>
        <v/>
      </c>
      <c r="AX10" s="11" t="str">
        <f t="shared" ca="1" si="75"/>
        <v/>
      </c>
      <c r="AY10" s="11" t="str">
        <f t="shared" ca="1" si="73"/>
        <v/>
      </c>
      <c r="AZ10" s="11" t="str">
        <f t="shared" ca="1" si="73"/>
        <v/>
      </c>
      <c r="BA10" s="11" t="str">
        <f t="shared" ca="1" si="73"/>
        <v/>
      </c>
      <c r="BB10" s="11" t="str">
        <f t="shared" ca="1" si="73"/>
        <v/>
      </c>
      <c r="BC10" s="11" t="str">
        <f t="shared" ca="1" si="73"/>
        <v/>
      </c>
      <c r="BD10" s="11" t="str">
        <f t="shared" ca="1" si="73"/>
        <v/>
      </c>
      <c r="BE10" s="11" t="str">
        <f t="shared" ca="1" si="74"/>
        <v/>
      </c>
      <c r="BF10" s="11" t="str">
        <f t="shared" ca="1" si="74"/>
        <v/>
      </c>
      <c r="BG10" s="11" t="str">
        <f t="shared" ca="1" si="74"/>
        <v/>
      </c>
      <c r="BH10" s="11" t="str">
        <f t="shared" ca="1" si="74"/>
        <v/>
      </c>
      <c r="BI10" s="11" t="str">
        <f t="shared" ca="1" si="74"/>
        <v/>
      </c>
      <c r="BJ10" s="11" t="str">
        <f t="shared" ca="1" si="74"/>
        <v/>
      </c>
      <c r="BK10" s="11" t="str">
        <f t="shared" ca="1" si="74"/>
        <v/>
      </c>
      <c r="BL10" s="11" t="str">
        <f t="shared" ca="1" si="74"/>
        <v/>
      </c>
      <c r="BM10" s="11" t="str">
        <f t="shared" ca="1" si="74"/>
        <v/>
      </c>
      <c r="BN10" s="11" t="str">
        <f t="shared" ca="1" si="74"/>
        <v/>
      </c>
      <c r="BO10" s="11" t="str">
        <f t="shared" ca="1" si="74"/>
        <v/>
      </c>
      <c r="BP10" s="11" t="str">
        <f t="shared" ca="1" si="74"/>
        <v/>
      </c>
      <c r="BQ10" s="11" t="str">
        <f t="shared" ca="1" si="74"/>
        <v/>
      </c>
      <c r="BR10" s="11" t="str">
        <f t="shared" ca="1" si="74"/>
        <v/>
      </c>
      <c r="BS10" s="11" t="str">
        <f t="shared" ca="1" si="74"/>
        <v/>
      </c>
      <c r="BT10" s="11" t="str">
        <f t="shared" ca="1" si="74"/>
        <v/>
      </c>
      <c r="BU10" s="11" t="str">
        <f t="shared" ca="1" si="74"/>
        <v/>
      </c>
      <c r="BV10" s="11" t="str">
        <f t="shared" ca="1" si="74"/>
        <v/>
      </c>
      <c r="BW10" s="11" t="str">
        <f t="shared" ca="1" si="74"/>
        <v/>
      </c>
      <c r="BX10" s="11" t="str">
        <f t="shared" ca="1" si="74"/>
        <v/>
      </c>
      <c r="BY10" s="11" t="str">
        <f t="shared" ca="1" si="74"/>
        <v/>
      </c>
      <c r="BZ10" s="11" t="str">
        <f t="shared" ca="1" si="74"/>
        <v/>
      </c>
    </row>
    <row r="11" spans="1:78">
      <c r="A11">
        <v>-7</v>
      </c>
      <c r="B11" s="1">
        <f t="shared" si="11"/>
        <v>-7</v>
      </c>
      <c r="C11" s="4" t="e">
        <f>MATCH(B11,テーブル1[日付],0)+1</f>
        <v>#N/A</v>
      </c>
      <c r="D11" t="e">
        <f>ADDRESS(C11,2,4,1)&amp;":"&amp;ADDRESS(C11+COUNTIF(テーブル1[日付],日毎の人員構成・人員別日毎の従事ライン!B11)-1,2,4,1)</f>
        <v>#N/A</v>
      </c>
      <c r="E11" t="e">
        <f>ADDRESS(C11,3,4,1)&amp;":"&amp;ADDRESS($C11+COUNTIF(テーブル1[日付],日毎の人員構成・人員別日毎の従事ライン!B11)-1,3,4,1)</f>
        <v>#N/A</v>
      </c>
      <c r="F11" s="4" t="e">
        <f t="shared" ca="1" si="12"/>
        <v>#N/A</v>
      </c>
      <c r="G11" s="4" t="e">
        <f t="shared" ca="1" si="12"/>
        <v>#N/A</v>
      </c>
      <c r="H11" s="4" t="e">
        <f t="shared" ca="1" si="12"/>
        <v>#N/A</v>
      </c>
      <c r="I11" s="4" t="e">
        <f t="shared" ca="1" si="12"/>
        <v>#N/A</v>
      </c>
      <c r="J11" s="4" t="e">
        <f t="shared" ca="1" si="12"/>
        <v>#N/A</v>
      </c>
      <c r="K11" s="4" t="e">
        <f t="shared" ca="1" si="12"/>
        <v>#N/A</v>
      </c>
      <c r="L11" s="4" t="e">
        <f t="shared" ca="1" si="12"/>
        <v>#N/A</v>
      </c>
      <c r="M11" s="4" t="e">
        <f t="shared" ca="1" si="7"/>
        <v>#N/A</v>
      </c>
      <c r="N11" s="4" t="e">
        <f t="shared" ca="1" si="7"/>
        <v>#N/A</v>
      </c>
      <c r="O11" s="4" t="e">
        <f t="shared" ca="1" si="7"/>
        <v>#N/A</v>
      </c>
      <c r="P11" s="4" t="e">
        <f t="shared" ca="1" si="7"/>
        <v>#N/A</v>
      </c>
      <c r="Q11" s="4" t="e">
        <f t="shared" ca="1" si="12"/>
        <v>#N/A</v>
      </c>
      <c r="R11" s="4" t="e">
        <f t="shared" ca="1" si="12"/>
        <v>#N/A</v>
      </c>
      <c r="S11" s="4" t="e">
        <f t="shared" ca="1" si="12"/>
        <v>#N/A</v>
      </c>
      <c r="T11" t="e">
        <f t="shared" ca="1" si="48"/>
        <v>#N/A</v>
      </c>
      <c r="U11" t="e">
        <f t="shared" ca="1" si="13"/>
        <v>#N/A</v>
      </c>
      <c r="V11" t="e">
        <f t="shared" ca="1" si="14"/>
        <v>#N/A</v>
      </c>
      <c r="W11" t="e">
        <f t="shared" ca="1" si="15"/>
        <v>#N/A</v>
      </c>
      <c r="X11" t="e">
        <f t="shared" ca="1" si="16"/>
        <v>#N/A</v>
      </c>
      <c r="Y11" t="e">
        <f t="shared" ca="1" si="17"/>
        <v>#N/A</v>
      </c>
      <c r="Z11" t="e">
        <f t="shared" ca="1" si="18"/>
        <v>#N/A</v>
      </c>
      <c r="AA11" t="e">
        <f t="shared" ca="1" si="49"/>
        <v>#N/A</v>
      </c>
      <c r="AB11" t="e">
        <f t="shared" ca="1" si="19"/>
        <v>#N/A</v>
      </c>
      <c r="AC11" t="e">
        <f t="shared" ca="1" si="20"/>
        <v>#N/A</v>
      </c>
      <c r="AD11" t="e">
        <f t="shared" ca="1" si="21"/>
        <v>#N/A</v>
      </c>
      <c r="AE11" t="e">
        <f t="shared" ca="1" si="22"/>
        <v>#N/A</v>
      </c>
      <c r="AF11" t="e">
        <f t="shared" ca="1" si="23"/>
        <v>#N/A</v>
      </c>
      <c r="AG11" t="e">
        <f t="shared" ca="1" si="24"/>
        <v>#N/A</v>
      </c>
      <c r="AH11" s="6">
        <v>5</v>
      </c>
      <c r="AI11" s="6" t="e">
        <f t="shared" si="76"/>
        <v>#N/A</v>
      </c>
      <c r="AJ11" s="6" t="s">
        <v>37</v>
      </c>
      <c r="AK11" s="6" t="str" cm="1">
        <f t="array" aca="1" ref="AK11" ca="1">IFERROR(INDEX(INDEX(INDIRECT($A$2&amp;$AI11,TRUE),0),AK$2),"")</f>
        <v/>
      </c>
      <c r="AL11" s="6" t="str" cm="1">
        <f t="array" aca="1" ref="AL11" ca="1">IFERROR(INDEX(INDEX(INDIRECT($A$2&amp;$AI11,TRUE),0),AL$2),"")</f>
        <v/>
      </c>
      <c r="AM11" s="6" t="str" cm="1">
        <f t="array" aca="1" ref="AM11" ca="1">IFERROR(INDEX(INDEX(INDIRECT($A$2&amp;$AI11,TRUE),0),AM$2),"")</f>
        <v/>
      </c>
      <c r="AN11" s="6" t="str" cm="1">
        <f t="array" aca="1" ref="AN11" ca="1">IFERROR(INDEX(INDEX(INDIRECT($A$2&amp;$AI11,TRUE),0),AN$2),"")</f>
        <v/>
      </c>
      <c r="AO11" s="6" t="str" cm="1">
        <f t="array" aca="1" ref="AO11" ca="1">IFERROR(INDEX(INDEX(INDIRECT($A$2&amp;$AI11,TRUE),0),AO$2),"")</f>
        <v/>
      </c>
      <c r="AP11" s="6" t="str" cm="1">
        <f t="array" aca="1" ref="AP11" ca="1">IFERROR(INDEX(INDEX(INDIRECT($A$2&amp;$AI11,TRUE),0),AP$2),"")</f>
        <v/>
      </c>
      <c r="AQ11" s="6" t="str" cm="1">
        <f t="array" aca="1" ref="AQ11" ca="1">IFERROR(INDEX(INDEX(INDIRECT($A$2&amp;$AI11,TRUE),0),AQ$2),"")</f>
        <v/>
      </c>
      <c r="AR11" s="6" t="str" cm="1">
        <f t="array" aca="1" ref="AR11" ca="1">IFERROR(INDEX(INDEX(INDIRECT($A$2&amp;$AI11,TRUE),0),AR$2),"")</f>
        <v/>
      </c>
      <c r="AS11" s="6" t="str" cm="1">
        <f t="array" aca="1" ref="AS11" ca="1">IFERROR(INDEX(INDEX(INDIRECT($A$2&amp;$AI11,TRUE),0),AS$2),"")</f>
        <v/>
      </c>
      <c r="AT11" s="6" t="str" cm="1">
        <f t="array" aca="1" ref="AT11" ca="1">IFERROR(INDEX(INDEX(INDIRECT($A$2&amp;$AI11,TRUE),0),AT$2),"")</f>
        <v/>
      </c>
      <c r="AX11" s="11" t="str">
        <f t="shared" ca="1" si="75"/>
        <v/>
      </c>
      <c r="AY11" s="11" t="str">
        <f t="shared" ca="1" si="73"/>
        <v/>
      </c>
      <c r="AZ11" s="11" t="str">
        <f t="shared" ca="1" si="73"/>
        <v/>
      </c>
      <c r="BA11" s="11" t="str">
        <f t="shared" ca="1" si="73"/>
        <v/>
      </c>
      <c r="BB11" s="11" t="str">
        <f t="shared" ca="1" si="73"/>
        <v/>
      </c>
      <c r="BC11" s="11" t="str">
        <f t="shared" ca="1" si="73"/>
        <v/>
      </c>
      <c r="BD11" s="11" t="str">
        <f t="shared" ca="1" si="73"/>
        <v/>
      </c>
      <c r="BE11" s="11" t="str">
        <f t="shared" ca="1" si="74"/>
        <v/>
      </c>
      <c r="BF11" s="11" t="str">
        <f t="shared" ca="1" si="74"/>
        <v/>
      </c>
      <c r="BG11" s="11" t="str">
        <f t="shared" ca="1" si="74"/>
        <v/>
      </c>
      <c r="BH11" s="11" t="str">
        <f t="shared" ca="1" si="74"/>
        <v/>
      </c>
      <c r="BI11" s="11" t="str">
        <f t="shared" ca="1" si="74"/>
        <v/>
      </c>
      <c r="BJ11" s="11" t="str">
        <f t="shared" ca="1" si="74"/>
        <v/>
      </c>
      <c r="BK11" s="11" t="str">
        <f t="shared" ca="1" si="74"/>
        <v/>
      </c>
      <c r="BL11" s="11" t="str">
        <f t="shared" ca="1" si="74"/>
        <v/>
      </c>
      <c r="BM11" s="11" t="str">
        <f t="shared" ca="1" si="74"/>
        <v/>
      </c>
      <c r="BN11" s="11" t="str">
        <f t="shared" ca="1" si="74"/>
        <v/>
      </c>
      <c r="BO11" s="11" t="str">
        <f t="shared" ca="1" si="74"/>
        <v/>
      </c>
      <c r="BP11" s="11" t="str">
        <f t="shared" ca="1" si="74"/>
        <v/>
      </c>
      <c r="BQ11" s="11" t="str">
        <f t="shared" ca="1" si="74"/>
        <v/>
      </c>
      <c r="BR11" s="11" t="str">
        <f t="shared" ca="1" si="74"/>
        <v/>
      </c>
      <c r="BS11" s="11" t="str">
        <f t="shared" ca="1" si="74"/>
        <v/>
      </c>
      <c r="BT11" s="11" t="str">
        <f t="shared" ca="1" si="74"/>
        <v/>
      </c>
      <c r="BU11" s="11" t="str">
        <f t="shared" ca="1" si="74"/>
        <v/>
      </c>
      <c r="BV11" s="11" t="str">
        <f t="shared" ca="1" si="74"/>
        <v/>
      </c>
      <c r="BW11" s="11" t="str">
        <f t="shared" ca="1" si="74"/>
        <v/>
      </c>
      <c r="BX11" s="11" t="str">
        <f t="shared" ca="1" si="74"/>
        <v/>
      </c>
      <c r="BY11" s="11" t="str">
        <f t="shared" ca="1" si="74"/>
        <v/>
      </c>
      <c r="BZ11" s="11" t="str">
        <f t="shared" ca="1" si="74"/>
        <v/>
      </c>
    </row>
    <row r="12" spans="1:78">
      <c r="A12">
        <v>-8</v>
      </c>
      <c r="B12" s="1">
        <f t="shared" si="11"/>
        <v>-8</v>
      </c>
      <c r="C12" s="4" t="e">
        <f>MATCH(B12,テーブル1[日付],0)+1</f>
        <v>#N/A</v>
      </c>
      <c r="D12" t="e">
        <f>ADDRESS(C12,2,4,1)&amp;":"&amp;ADDRESS(C12+COUNTIF(テーブル1[日付],日毎の人員構成・人員別日毎の従事ライン!B12)-1,2,4,1)</f>
        <v>#N/A</v>
      </c>
      <c r="E12" t="e">
        <f>ADDRESS(C12,3,4,1)&amp;":"&amp;ADDRESS($C12+COUNTIF(テーブル1[日付],日毎の人員構成・人員別日毎の従事ライン!B12)-1,3,4,1)</f>
        <v>#N/A</v>
      </c>
      <c r="F12" s="4" t="e">
        <f t="shared" ca="1" si="12"/>
        <v>#N/A</v>
      </c>
      <c r="G12" s="4" t="e">
        <f t="shared" ca="1" si="12"/>
        <v>#N/A</v>
      </c>
      <c r="H12" s="4" t="e">
        <f t="shared" ca="1" si="12"/>
        <v>#N/A</v>
      </c>
      <c r="I12" s="4" t="e">
        <f t="shared" ca="1" si="12"/>
        <v>#N/A</v>
      </c>
      <c r="J12" s="4" t="e">
        <f t="shared" ca="1" si="12"/>
        <v>#N/A</v>
      </c>
      <c r="K12" s="4" t="e">
        <f t="shared" ca="1" si="12"/>
        <v>#N/A</v>
      </c>
      <c r="L12" s="4" t="e">
        <f t="shared" ca="1" si="12"/>
        <v>#N/A</v>
      </c>
      <c r="M12" s="4" t="e">
        <f t="shared" ca="1" si="7"/>
        <v>#N/A</v>
      </c>
      <c r="N12" s="4" t="e">
        <f t="shared" ca="1" si="7"/>
        <v>#N/A</v>
      </c>
      <c r="O12" s="4" t="e">
        <f t="shared" ca="1" si="7"/>
        <v>#N/A</v>
      </c>
      <c r="P12" s="4" t="e">
        <f t="shared" ca="1" si="7"/>
        <v>#N/A</v>
      </c>
      <c r="Q12" s="4" t="e">
        <f t="shared" ca="1" si="12"/>
        <v>#N/A</v>
      </c>
      <c r="R12" s="4" t="e">
        <f t="shared" ca="1" si="12"/>
        <v>#N/A</v>
      </c>
      <c r="S12" s="4" t="e">
        <f t="shared" ca="1" si="12"/>
        <v>#N/A</v>
      </c>
      <c r="T12" t="e">
        <f t="shared" ca="1" si="48"/>
        <v>#N/A</v>
      </c>
      <c r="U12" t="e">
        <f t="shared" ca="1" si="13"/>
        <v>#N/A</v>
      </c>
      <c r="V12" t="e">
        <f t="shared" ca="1" si="14"/>
        <v>#N/A</v>
      </c>
      <c r="W12" t="e">
        <f t="shared" ca="1" si="15"/>
        <v>#N/A</v>
      </c>
      <c r="X12" t="e">
        <f t="shared" ca="1" si="16"/>
        <v>#N/A</v>
      </c>
      <c r="Y12" t="e">
        <f t="shared" ca="1" si="17"/>
        <v>#N/A</v>
      </c>
      <c r="Z12" t="e">
        <f t="shared" ca="1" si="18"/>
        <v>#N/A</v>
      </c>
      <c r="AA12" t="e">
        <f t="shared" ca="1" si="49"/>
        <v>#N/A</v>
      </c>
      <c r="AB12" t="e">
        <f t="shared" ca="1" si="19"/>
        <v>#N/A</v>
      </c>
      <c r="AC12" t="e">
        <f t="shared" ca="1" si="20"/>
        <v>#N/A</v>
      </c>
      <c r="AD12" t="e">
        <f t="shared" ca="1" si="21"/>
        <v>#N/A</v>
      </c>
      <c r="AE12" t="e">
        <f t="shared" ca="1" si="22"/>
        <v>#N/A</v>
      </c>
      <c r="AF12" t="e">
        <f t="shared" ca="1" si="23"/>
        <v>#N/A</v>
      </c>
      <c r="AG12" t="e">
        <f t="shared" ca="1" si="24"/>
        <v>#N/A</v>
      </c>
      <c r="AH12" s="6">
        <v>6</v>
      </c>
      <c r="AI12" s="6" t="e">
        <f t="shared" si="76"/>
        <v>#N/A</v>
      </c>
      <c r="AJ12" s="6" t="s">
        <v>41</v>
      </c>
      <c r="AK12" s="6" t="str" cm="1">
        <f t="array" aca="1" ref="AK12" ca="1">IFERROR(INDEX(INDEX(INDIRECT($A$2&amp;$AI12,TRUE),0),AK$2),"")</f>
        <v/>
      </c>
      <c r="AL12" s="6" t="str" cm="1">
        <f t="array" aca="1" ref="AL12" ca="1">IFERROR(INDEX(INDEX(INDIRECT($A$2&amp;$AI12,TRUE),0),AL$2),"")</f>
        <v/>
      </c>
      <c r="AM12" s="6" t="str" cm="1">
        <f t="array" aca="1" ref="AM12" ca="1">IFERROR(INDEX(INDEX(INDIRECT($A$2&amp;$AI12,TRUE),0),AM$2),"")</f>
        <v/>
      </c>
      <c r="AN12" s="6" t="str" cm="1">
        <f t="array" aca="1" ref="AN12" ca="1">IFERROR(INDEX(INDEX(INDIRECT($A$2&amp;$AI12,TRUE),0),AN$2),"")</f>
        <v/>
      </c>
      <c r="AO12" s="6" t="str" cm="1">
        <f t="array" aca="1" ref="AO12" ca="1">IFERROR(INDEX(INDEX(INDIRECT($A$2&amp;$AI12,TRUE),0),AO$2),"")</f>
        <v/>
      </c>
      <c r="AP12" s="6" t="str" cm="1">
        <f t="array" aca="1" ref="AP12" ca="1">IFERROR(INDEX(INDEX(INDIRECT($A$2&amp;$AI12,TRUE),0),AP$2),"")</f>
        <v/>
      </c>
      <c r="AQ12" s="6" t="str" cm="1">
        <f t="array" aca="1" ref="AQ12" ca="1">IFERROR(INDEX(INDEX(INDIRECT($A$2&amp;$AI12,TRUE),0),AQ$2),"")</f>
        <v/>
      </c>
      <c r="AR12" s="6" t="str" cm="1">
        <f t="array" aca="1" ref="AR12" ca="1">IFERROR(INDEX(INDEX(INDIRECT($A$2&amp;$AI12,TRUE),0),AR$2),"")</f>
        <v/>
      </c>
      <c r="AS12" s="6" t="str" cm="1">
        <f t="array" aca="1" ref="AS12" ca="1">IFERROR(INDEX(INDEX(INDIRECT($A$2&amp;$AI12,TRUE),0),AS$2),"")</f>
        <v/>
      </c>
      <c r="AT12" s="6" t="str" cm="1">
        <f t="array" aca="1" ref="AT12" ca="1">IFERROR(INDEX(INDEX(INDIRECT($A$2&amp;$AI12,TRUE),0),AT$2),"")</f>
        <v/>
      </c>
      <c r="AX12" s="11" t="str">
        <f t="shared" ca="1" si="75"/>
        <v/>
      </c>
      <c r="AY12" s="11" t="str">
        <f t="shared" ca="1" si="73"/>
        <v/>
      </c>
      <c r="AZ12" s="11" t="str">
        <f t="shared" ca="1" si="73"/>
        <v/>
      </c>
      <c r="BA12" s="11" t="str">
        <f t="shared" ca="1" si="73"/>
        <v/>
      </c>
      <c r="BB12" s="11" t="str">
        <f t="shared" ca="1" si="73"/>
        <v/>
      </c>
      <c r="BC12" s="11" t="str">
        <f t="shared" ca="1" si="73"/>
        <v/>
      </c>
      <c r="BD12" s="11" t="str">
        <f t="shared" ca="1" si="73"/>
        <v/>
      </c>
      <c r="BE12" s="11" t="str">
        <f t="shared" ref="BE12:BZ16" ca="1" si="77">IFERROR(INDEX(INDIRECT(BE$1,TRUE),MATCH($AW12,INDIRECT(BE$2,TRUE),0)),"")</f>
        <v/>
      </c>
      <c r="BF12" s="11" t="str">
        <f t="shared" ca="1" si="77"/>
        <v/>
      </c>
      <c r="BG12" s="11" t="str">
        <f t="shared" ca="1" si="77"/>
        <v/>
      </c>
      <c r="BH12" s="11" t="str">
        <f t="shared" ca="1" si="77"/>
        <v/>
      </c>
      <c r="BI12" s="11" t="str">
        <f t="shared" ca="1" si="77"/>
        <v/>
      </c>
      <c r="BJ12" s="11" t="str">
        <f t="shared" ca="1" si="77"/>
        <v/>
      </c>
      <c r="BK12" s="11" t="str">
        <f t="shared" ca="1" si="77"/>
        <v/>
      </c>
      <c r="BL12" s="11" t="str">
        <f t="shared" ca="1" si="77"/>
        <v/>
      </c>
      <c r="BM12" s="11" t="str">
        <f t="shared" ca="1" si="77"/>
        <v/>
      </c>
      <c r="BN12" s="11" t="str">
        <f t="shared" ca="1" si="77"/>
        <v/>
      </c>
      <c r="BO12" s="11" t="str">
        <f t="shared" ca="1" si="77"/>
        <v/>
      </c>
      <c r="BP12" s="11" t="str">
        <f t="shared" ca="1" si="77"/>
        <v/>
      </c>
      <c r="BQ12" s="11" t="str">
        <f t="shared" ca="1" si="77"/>
        <v/>
      </c>
      <c r="BR12" s="11" t="str">
        <f t="shared" ca="1" si="77"/>
        <v/>
      </c>
      <c r="BS12" s="11" t="str">
        <f t="shared" ca="1" si="77"/>
        <v/>
      </c>
      <c r="BT12" s="11" t="str">
        <f t="shared" ca="1" si="77"/>
        <v/>
      </c>
      <c r="BU12" s="11" t="str">
        <f t="shared" ca="1" si="77"/>
        <v/>
      </c>
      <c r="BV12" s="11" t="str">
        <f t="shared" ca="1" si="77"/>
        <v/>
      </c>
      <c r="BW12" s="11" t="str">
        <f t="shared" ca="1" si="77"/>
        <v/>
      </c>
      <c r="BX12" s="11" t="str">
        <f t="shared" ca="1" si="77"/>
        <v/>
      </c>
      <c r="BY12" s="11" t="str">
        <f t="shared" ca="1" si="77"/>
        <v/>
      </c>
      <c r="BZ12" s="11" t="str">
        <f t="shared" ca="1" si="77"/>
        <v/>
      </c>
    </row>
    <row r="13" spans="1:78">
      <c r="A13">
        <v>-9</v>
      </c>
      <c r="B13" s="1">
        <f t="shared" si="11"/>
        <v>-9</v>
      </c>
      <c r="C13" s="4" t="e">
        <f>MATCH(B13,テーブル1[日付],0)+1</f>
        <v>#N/A</v>
      </c>
      <c r="D13" t="e">
        <f>ADDRESS(C13,2,4,1)&amp;":"&amp;ADDRESS(C13+COUNTIF(テーブル1[日付],日毎の人員構成・人員別日毎の従事ライン!B13)-1,2,4,1)</f>
        <v>#N/A</v>
      </c>
      <c r="E13" t="e">
        <f>ADDRESS(C13,3,4,1)&amp;":"&amp;ADDRESS($C13+COUNTIF(テーブル1[日付],日毎の人員構成・人員別日毎の従事ライン!B13)-1,3,4,1)</f>
        <v>#N/A</v>
      </c>
      <c r="F13" s="4" t="e">
        <f t="shared" ca="1" si="12"/>
        <v>#N/A</v>
      </c>
      <c r="G13" s="4" t="e">
        <f t="shared" ca="1" si="12"/>
        <v>#N/A</v>
      </c>
      <c r="H13" s="4" t="e">
        <f t="shared" ca="1" si="12"/>
        <v>#N/A</v>
      </c>
      <c r="I13" s="4" t="e">
        <f t="shared" ca="1" si="12"/>
        <v>#N/A</v>
      </c>
      <c r="J13" s="4" t="e">
        <f t="shared" ca="1" si="12"/>
        <v>#N/A</v>
      </c>
      <c r="K13" s="4" t="e">
        <f t="shared" ca="1" si="12"/>
        <v>#N/A</v>
      </c>
      <c r="L13" s="4" t="e">
        <f t="shared" ca="1" si="12"/>
        <v>#N/A</v>
      </c>
      <c r="M13" s="4" t="e">
        <f t="shared" ca="1" si="7"/>
        <v>#N/A</v>
      </c>
      <c r="N13" s="4" t="e">
        <f t="shared" ca="1" si="7"/>
        <v>#N/A</v>
      </c>
      <c r="O13" s="4" t="e">
        <f t="shared" ca="1" si="7"/>
        <v>#N/A</v>
      </c>
      <c r="P13" s="4" t="e">
        <f t="shared" ca="1" si="7"/>
        <v>#N/A</v>
      </c>
      <c r="Q13" s="4" t="e">
        <f t="shared" ca="1" si="12"/>
        <v>#N/A</v>
      </c>
      <c r="R13" s="4" t="e">
        <f t="shared" ca="1" si="12"/>
        <v>#N/A</v>
      </c>
      <c r="S13" s="4" t="e">
        <f t="shared" ca="1" si="12"/>
        <v>#N/A</v>
      </c>
      <c r="T13" t="e">
        <f t="shared" ca="1" si="48"/>
        <v>#N/A</v>
      </c>
      <c r="U13" t="e">
        <f t="shared" ca="1" si="13"/>
        <v>#N/A</v>
      </c>
      <c r="V13" t="e">
        <f t="shared" ca="1" si="14"/>
        <v>#N/A</v>
      </c>
      <c r="W13" t="e">
        <f t="shared" ca="1" si="15"/>
        <v>#N/A</v>
      </c>
      <c r="X13" t="e">
        <f t="shared" ca="1" si="16"/>
        <v>#N/A</v>
      </c>
      <c r="Y13" t="e">
        <f t="shared" ca="1" si="17"/>
        <v>#N/A</v>
      </c>
      <c r="Z13" t="e">
        <f t="shared" ca="1" si="18"/>
        <v>#N/A</v>
      </c>
      <c r="AA13" t="e">
        <f t="shared" ca="1" si="49"/>
        <v>#N/A</v>
      </c>
      <c r="AB13" t="e">
        <f t="shared" ca="1" si="19"/>
        <v>#N/A</v>
      </c>
      <c r="AC13" t="e">
        <f t="shared" ca="1" si="20"/>
        <v>#N/A</v>
      </c>
      <c r="AD13" t="e">
        <f t="shared" ca="1" si="21"/>
        <v>#N/A</v>
      </c>
      <c r="AE13" t="e">
        <f t="shared" ca="1" si="22"/>
        <v>#N/A</v>
      </c>
      <c r="AF13" t="e">
        <f t="shared" ca="1" si="23"/>
        <v>#N/A</v>
      </c>
      <c r="AG13" t="e">
        <f t="shared" ca="1" si="24"/>
        <v>#N/A</v>
      </c>
      <c r="AI13" t="s">
        <v>63</v>
      </c>
      <c r="AJ13" s="8">
        <f>AJ6-1</f>
        <v>-1</v>
      </c>
      <c r="AK13" s="9" t="e">
        <f>" ("&amp;CHOOSE(WEEKDAY(AJ13,1),"日","月","火","水","木","金","土")&amp;")"</f>
        <v>#NUM!</v>
      </c>
      <c r="AL13" s="10"/>
      <c r="AM13" s="10"/>
      <c r="AN13" s="10"/>
      <c r="AO13" s="10"/>
      <c r="AP13" s="10"/>
      <c r="AQ13" s="10"/>
      <c r="AR13" s="10"/>
      <c r="AS13" s="10"/>
      <c r="AT13" s="10"/>
      <c r="AX13" s="11" t="str">
        <f t="shared" ca="1" si="75"/>
        <v/>
      </c>
      <c r="AY13" s="11" t="str">
        <f t="shared" ca="1" si="73"/>
        <v/>
      </c>
      <c r="AZ13" s="11" t="str">
        <f t="shared" ca="1" si="73"/>
        <v/>
      </c>
      <c r="BA13" s="11" t="str">
        <f t="shared" ca="1" si="73"/>
        <v/>
      </c>
      <c r="BB13" s="11" t="str">
        <f t="shared" ca="1" si="73"/>
        <v/>
      </c>
      <c r="BC13" s="11" t="str">
        <f t="shared" ca="1" si="73"/>
        <v/>
      </c>
      <c r="BD13" s="11" t="str">
        <f t="shared" ca="1" si="73"/>
        <v/>
      </c>
      <c r="BE13" s="11" t="str">
        <f t="shared" ca="1" si="77"/>
        <v/>
      </c>
      <c r="BF13" s="11" t="str">
        <f t="shared" ca="1" si="77"/>
        <v/>
      </c>
      <c r="BG13" s="11" t="str">
        <f t="shared" ca="1" si="77"/>
        <v/>
      </c>
      <c r="BH13" s="11" t="str">
        <f t="shared" ca="1" si="77"/>
        <v/>
      </c>
      <c r="BI13" s="11" t="str">
        <f t="shared" ca="1" si="77"/>
        <v/>
      </c>
      <c r="BJ13" s="11" t="str">
        <f t="shared" ca="1" si="77"/>
        <v/>
      </c>
      <c r="BK13" s="11" t="str">
        <f t="shared" ca="1" si="77"/>
        <v/>
      </c>
      <c r="BL13" s="11" t="str">
        <f t="shared" ca="1" si="77"/>
        <v/>
      </c>
      <c r="BM13" s="11" t="str">
        <f t="shared" ca="1" si="77"/>
        <v/>
      </c>
      <c r="BN13" s="11" t="str">
        <f t="shared" ca="1" si="77"/>
        <v/>
      </c>
      <c r="BO13" s="11" t="str">
        <f t="shared" ca="1" si="77"/>
        <v/>
      </c>
      <c r="BP13" s="11" t="str">
        <f t="shared" ca="1" si="77"/>
        <v/>
      </c>
      <c r="BQ13" s="11" t="str">
        <f t="shared" ca="1" si="77"/>
        <v/>
      </c>
      <c r="BR13" s="11" t="str">
        <f t="shared" ca="1" si="77"/>
        <v/>
      </c>
      <c r="BS13" s="11" t="str">
        <f t="shared" ca="1" si="77"/>
        <v/>
      </c>
      <c r="BT13" s="11" t="str">
        <f t="shared" ca="1" si="77"/>
        <v/>
      </c>
      <c r="BU13" s="11" t="str">
        <f t="shared" ca="1" si="77"/>
        <v/>
      </c>
      <c r="BV13" s="11" t="str">
        <f t="shared" ca="1" si="77"/>
        <v/>
      </c>
      <c r="BW13" s="11" t="str">
        <f t="shared" ca="1" si="77"/>
        <v/>
      </c>
      <c r="BX13" s="11" t="str">
        <f t="shared" ca="1" si="77"/>
        <v/>
      </c>
      <c r="BY13" s="11" t="str">
        <f t="shared" ca="1" si="77"/>
        <v/>
      </c>
      <c r="BZ13" s="11" t="str">
        <f t="shared" ca="1" si="77"/>
        <v/>
      </c>
    </row>
    <row r="14" spans="1:78">
      <c r="A14">
        <v>-10</v>
      </c>
      <c r="B14" s="1">
        <f t="shared" si="11"/>
        <v>-10</v>
      </c>
      <c r="C14" s="4" t="e">
        <f>MATCH(B14,テーブル1[日付],0)+1</f>
        <v>#N/A</v>
      </c>
      <c r="D14" t="e">
        <f>ADDRESS(C14,2,4,1)&amp;":"&amp;ADDRESS(C14+COUNTIF(テーブル1[日付],日毎の人員構成・人員別日毎の従事ライン!B14)-1,2,4,1)</f>
        <v>#N/A</v>
      </c>
      <c r="E14" t="e">
        <f>ADDRESS(C14,3,4,1)&amp;":"&amp;ADDRESS($C14+COUNTIF(テーブル1[日付],日毎の人員構成・人員別日毎の従事ライン!B14)-1,3,4,1)</f>
        <v>#N/A</v>
      </c>
      <c r="F14" s="4" t="e">
        <f t="shared" ca="1" si="12"/>
        <v>#N/A</v>
      </c>
      <c r="G14" s="4" t="e">
        <f t="shared" ca="1" si="12"/>
        <v>#N/A</v>
      </c>
      <c r="H14" s="4" t="e">
        <f t="shared" ca="1" si="12"/>
        <v>#N/A</v>
      </c>
      <c r="I14" s="4" t="e">
        <f t="shared" ca="1" si="12"/>
        <v>#N/A</v>
      </c>
      <c r="J14" s="4" t="e">
        <f t="shared" ca="1" si="12"/>
        <v>#N/A</v>
      </c>
      <c r="K14" s="4" t="e">
        <f t="shared" ca="1" si="12"/>
        <v>#N/A</v>
      </c>
      <c r="L14" s="4" t="e">
        <f t="shared" ca="1" si="12"/>
        <v>#N/A</v>
      </c>
      <c r="M14" s="4" t="e">
        <f t="shared" ca="1" si="7"/>
        <v>#N/A</v>
      </c>
      <c r="N14" s="4" t="e">
        <f t="shared" ca="1" si="7"/>
        <v>#N/A</v>
      </c>
      <c r="O14" s="4" t="e">
        <f t="shared" ca="1" si="7"/>
        <v>#N/A</v>
      </c>
      <c r="P14" s="4" t="e">
        <f t="shared" ca="1" si="7"/>
        <v>#N/A</v>
      </c>
      <c r="Q14" s="4" t="e">
        <f t="shared" ca="1" si="12"/>
        <v>#N/A</v>
      </c>
      <c r="R14" s="4" t="e">
        <f t="shared" ca="1" si="12"/>
        <v>#N/A</v>
      </c>
      <c r="S14" s="4" t="e">
        <f t="shared" ca="1" si="12"/>
        <v>#N/A</v>
      </c>
      <c r="T14" t="e">
        <f t="shared" ca="1" si="48"/>
        <v>#N/A</v>
      </c>
      <c r="U14" t="e">
        <f t="shared" ca="1" si="13"/>
        <v>#N/A</v>
      </c>
      <c r="V14" t="e">
        <f t="shared" ca="1" si="14"/>
        <v>#N/A</v>
      </c>
      <c r="W14" t="e">
        <f t="shared" ca="1" si="15"/>
        <v>#N/A</v>
      </c>
      <c r="X14" t="e">
        <f t="shared" ca="1" si="16"/>
        <v>#N/A</v>
      </c>
      <c r="Y14" t="e">
        <f t="shared" ca="1" si="17"/>
        <v>#N/A</v>
      </c>
      <c r="Z14" t="e">
        <f t="shared" ca="1" si="18"/>
        <v>#N/A</v>
      </c>
      <c r="AA14" t="e">
        <f t="shared" ca="1" si="49"/>
        <v>#N/A</v>
      </c>
      <c r="AB14" t="e">
        <f t="shared" ca="1" si="19"/>
        <v>#N/A</v>
      </c>
      <c r="AC14" t="e">
        <f t="shared" ca="1" si="20"/>
        <v>#N/A</v>
      </c>
      <c r="AD14" t="e">
        <f t="shared" ca="1" si="21"/>
        <v>#N/A</v>
      </c>
      <c r="AE14" t="e">
        <f t="shared" ca="1" si="22"/>
        <v>#N/A</v>
      </c>
      <c r="AF14" t="e">
        <f t="shared" ca="1" si="23"/>
        <v>#N/A</v>
      </c>
      <c r="AG14" t="e">
        <f t="shared" ca="1" si="24"/>
        <v>#N/A</v>
      </c>
      <c r="AH14" s="6">
        <v>1</v>
      </c>
      <c r="AI14" s="6" t="e">
        <f>INDEX($T$4:$AE$32,MATCH($AJ$13,$B$4:$B$34,0),MATCH($AJ14,$T$3:$AE$3,0))</f>
        <v>#N/A</v>
      </c>
      <c r="AJ14" s="6" t="s">
        <v>19</v>
      </c>
      <c r="AK14" s="6" t="str" cm="1">
        <f t="array" aca="1" ref="AK14" ca="1">IFERROR(INDEX(INDEX(INDIRECT($A$2&amp;$AI14,TRUE),0),AK$2),"")</f>
        <v/>
      </c>
      <c r="AL14" s="6" t="str" cm="1">
        <f t="array" aca="1" ref="AL14" ca="1">IFERROR(INDEX(INDEX(INDIRECT($A$2&amp;$AI14,TRUE),0),AL$2),"")</f>
        <v/>
      </c>
      <c r="AM14" s="6" t="str" cm="1">
        <f t="array" aca="1" ref="AM14" ca="1">IFERROR(INDEX(INDEX(INDIRECT($A$2&amp;$AI14,TRUE),0),AM$2),"")</f>
        <v/>
      </c>
      <c r="AN14" s="6" t="str" cm="1">
        <f t="array" aca="1" ref="AN14" ca="1">IFERROR(INDEX(INDEX(INDIRECT($A$2&amp;$AI14,TRUE),0),AN$2),"")</f>
        <v/>
      </c>
      <c r="AO14" s="6" t="str" cm="1">
        <f t="array" aca="1" ref="AO14" ca="1">IFERROR(INDEX(INDEX(INDIRECT($A$2&amp;$AI14,TRUE),0),AO$2),"")</f>
        <v/>
      </c>
      <c r="AP14" s="6" t="str" cm="1">
        <f t="array" aca="1" ref="AP14" ca="1">IFERROR(INDEX(INDEX(INDIRECT($A$2&amp;$AI14,TRUE),0),AP$2),"")</f>
        <v/>
      </c>
      <c r="AQ14" s="6" t="str" cm="1">
        <f t="array" aca="1" ref="AQ14" ca="1">IFERROR(INDEX(INDEX(INDIRECT($A$2&amp;$AI14,TRUE),0),AQ$2),"")</f>
        <v/>
      </c>
      <c r="AR14" s="6" t="str" cm="1">
        <f t="array" aca="1" ref="AR14" ca="1">IFERROR(INDEX(INDEX(INDIRECT($A$2&amp;$AI14,TRUE),0),AR$2),"")</f>
        <v/>
      </c>
      <c r="AS14" s="6" t="str" cm="1">
        <f t="array" aca="1" ref="AS14" ca="1">IFERROR(INDEX(INDEX(INDIRECT($A$2&amp;$AI14,TRUE),0),AS$2),"")</f>
        <v/>
      </c>
      <c r="AT14" s="6" t="str" cm="1">
        <f t="array" aca="1" ref="AT14" ca="1">IFERROR(INDEX(INDEX(INDIRECT($A$2&amp;$AI14,TRUE),0),AT$2),"")</f>
        <v/>
      </c>
      <c r="AX14" s="11" t="str">
        <f t="shared" ca="1" si="75"/>
        <v/>
      </c>
      <c r="AY14" s="11" t="str">
        <f t="shared" ca="1" si="73"/>
        <v/>
      </c>
      <c r="AZ14" s="11" t="str">
        <f t="shared" ca="1" si="73"/>
        <v/>
      </c>
      <c r="BA14" s="11" t="str">
        <f t="shared" ca="1" si="73"/>
        <v/>
      </c>
      <c r="BB14" s="11" t="str">
        <f t="shared" ca="1" si="73"/>
        <v/>
      </c>
      <c r="BC14" s="11" t="str">
        <f t="shared" ca="1" si="73"/>
        <v/>
      </c>
      <c r="BD14" s="11" t="str">
        <f t="shared" ca="1" si="73"/>
        <v/>
      </c>
      <c r="BE14" s="11" t="str">
        <f t="shared" ca="1" si="77"/>
        <v/>
      </c>
      <c r="BF14" s="11" t="str">
        <f t="shared" ca="1" si="77"/>
        <v/>
      </c>
      <c r="BG14" s="11" t="str">
        <f t="shared" ca="1" si="77"/>
        <v/>
      </c>
      <c r="BH14" s="11" t="str">
        <f t="shared" ca="1" si="77"/>
        <v/>
      </c>
      <c r="BI14" s="11" t="str">
        <f t="shared" ca="1" si="77"/>
        <v/>
      </c>
      <c r="BJ14" s="11" t="str">
        <f t="shared" ca="1" si="77"/>
        <v/>
      </c>
      <c r="BK14" s="11" t="str">
        <f t="shared" ca="1" si="77"/>
        <v/>
      </c>
      <c r="BL14" s="11" t="str">
        <f t="shared" ca="1" si="77"/>
        <v/>
      </c>
      <c r="BM14" s="11" t="str">
        <f t="shared" ca="1" si="77"/>
        <v/>
      </c>
      <c r="BN14" s="11" t="str">
        <f t="shared" ca="1" si="77"/>
        <v/>
      </c>
      <c r="BO14" s="11" t="str">
        <f t="shared" ca="1" si="77"/>
        <v/>
      </c>
      <c r="BP14" s="11" t="str">
        <f t="shared" ca="1" si="77"/>
        <v/>
      </c>
      <c r="BQ14" s="11" t="str">
        <f t="shared" ca="1" si="77"/>
        <v/>
      </c>
      <c r="BR14" s="11" t="str">
        <f t="shared" ca="1" si="77"/>
        <v/>
      </c>
      <c r="BS14" s="11" t="str">
        <f t="shared" ca="1" si="77"/>
        <v/>
      </c>
      <c r="BT14" s="11" t="str">
        <f t="shared" ca="1" si="77"/>
        <v/>
      </c>
      <c r="BU14" s="11" t="str">
        <f t="shared" ca="1" si="77"/>
        <v/>
      </c>
      <c r="BV14" s="11" t="str">
        <f t="shared" ca="1" si="77"/>
        <v/>
      </c>
      <c r="BW14" s="11" t="str">
        <f t="shared" ca="1" si="77"/>
        <v/>
      </c>
      <c r="BX14" s="11" t="str">
        <f t="shared" ca="1" si="77"/>
        <v/>
      </c>
      <c r="BY14" s="11" t="str">
        <f t="shared" ca="1" si="77"/>
        <v/>
      </c>
      <c r="BZ14" s="11" t="str">
        <f t="shared" ca="1" si="77"/>
        <v/>
      </c>
    </row>
    <row r="15" spans="1:78">
      <c r="A15">
        <v>-11</v>
      </c>
      <c r="B15" s="1">
        <f t="shared" si="11"/>
        <v>-11</v>
      </c>
      <c r="C15" s="4" t="e">
        <f>MATCH(B15,テーブル1[日付],0)+1</f>
        <v>#N/A</v>
      </c>
      <c r="D15" t="e">
        <f>ADDRESS(C15,2,4,1)&amp;":"&amp;ADDRESS(C15+COUNTIF(テーブル1[日付],日毎の人員構成・人員別日毎の従事ライン!B15)-1,2,4,1)</f>
        <v>#N/A</v>
      </c>
      <c r="E15" t="e">
        <f>ADDRESS(C15,3,4,1)&amp;":"&amp;ADDRESS($C15+COUNTIF(テーブル1[日付],日毎の人員構成・人員別日毎の従事ライン!B15)-1,3,4,1)</f>
        <v>#N/A</v>
      </c>
      <c r="F15" s="4" t="e">
        <f t="shared" ca="1" si="12"/>
        <v>#N/A</v>
      </c>
      <c r="G15" s="4" t="e">
        <f t="shared" ca="1" si="12"/>
        <v>#N/A</v>
      </c>
      <c r="H15" s="4" t="e">
        <f t="shared" ca="1" si="12"/>
        <v>#N/A</v>
      </c>
      <c r="I15" s="4" t="e">
        <f t="shared" ca="1" si="12"/>
        <v>#N/A</v>
      </c>
      <c r="J15" s="4" t="e">
        <f t="shared" ca="1" si="12"/>
        <v>#N/A</v>
      </c>
      <c r="K15" s="4" t="e">
        <f t="shared" ca="1" si="12"/>
        <v>#N/A</v>
      </c>
      <c r="L15" s="4" t="e">
        <f t="shared" ca="1" si="12"/>
        <v>#N/A</v>
      </c>
      <c r="M15" s="4" t="e">
        <f t="shared" ca="1" si="7"/>
        <v>#N/A</v>
      </c>
      <c r="N15" s="4" t="e">
        <f t="shared" ca="1" si="7"/>
        <v>#N/A</v>
      </c>
      <c r="O15" s="4" t="e">
        <f t="shared" ca="1" si="7"/>
        <v>#N/A</v>
      </c>
      <c r="P15" s="4" t="e">
        <f t="shared" ca="1" si="7"/>
        <v>#N/A</v>
      </c>
      <c r="Q15" s="4" t="e">
        <f t="shared" ca="1" si="12"/>
        <v>#N/A</v>
      </c>
      <c r="R15" s="4" t="e">
        <f t="shared" ca="1" si="12"/>
        <v>#N/A</v>
      </c>
      <c r="S15" s="4" t="e">
        <f t="shared" ca="1" si="12"/>
        <v>#N/A</v>
      </c>
      <c r="T15" t="e">
        <f t="shared" ca="1" si="48"/>
        <v>#N/A</v>
      </c>
      <c r="U15" t="e">
        <f t="shared" ca="1" si="13"/>
        <v>#N/A</v>
      </c>
      <c r="V15" t="e">
        <f t="shared" ca="1" si="14"/>
        <v>#N/A</v>
      </c>
      <c r="W15" t="e">
        <f t="shared" ca="1" si="15"/>
        <v>#N/A</v>
      </c>
      <c r="X15" t="e">
        <f t="shared" ca="1" si="16"/>
        <v>#N/A</v>
      </c>
      <c r="Y15" t="e">
        <f t="shared" ca="1" si="17"/>
        <v>#N/A</v>
      </c>
      <c r="Z15" t="e">
        <f t="shared" ca="1" si="18"/>
        <v>#N/A</v>
      </c>
      <c r="AA15" t="e">
        <f t="shared" ca="1" si="49"/>
        <v>#N/A</v>
      </c>
      <c r="AB15" t="e">
        <f t="shared" ca="1" si="19"/>
        <v>#N/A</v>
      </c>
      <c r="AC15" t="e">
        <f t="shared" ca="1" si="20"/>
        <v>#N/A</v>
      </c>
      <c r="AD15" t="e">
        <f t="shared" ca="1" si="21"/>
        <v>#N/A</v>
      </c>
      <c r="AE15" t="e">
        <f t="shared" ca="1" si="22"/>
        <v>#N/A</v>
      </c>
      <c r="AF15" t="e">
        <f t="shared" ca="1" si="23"/>
        <v>#N/A</v>
      </c>
      <c r="AG15" t="e">
        <f t="shared" ca="1" si="24"/>
        <v>#N/A</v>
      </c>
      <c r="AH15" s="6">
        <v>2</v>
      </c>
      <c r="AI15" s="6" t="e">
        <f t="shared" ref="AI15:AI19" si="78">INDEX($T$4:$AE$32,MATCH($AJ$13,$B$4:$B$34,0),MATCH($AJ15,$T$3:$AE$3,0))</f>
        <v>#N/A</v>
      </c>
      <c r="AJ15" s="6" t="s">
        <v>24</v>
      </c>
      <c r="AK15" s="6" t="str" cm="1">
        <f t="array" aca="1" ref="AK15" ca="1">IFERROR(INDEX(INDEX(INDIRECT($A$2&amp;$AI15,TRUE),0),AK$2),"")</f>
        <v/>
      </c>
      <c r="AL15" s="6" t="str" cm="1">
        <f t="array" aca="1" ref="AL15" ca="1">IFERROR(INDEX(INDEX(INDIRECT($A$2&amp;$AI15,TRUE),0),AL$2),"")</f>
        <v/>
      </c>
      <c r="AM15" s="6" t="str" cm="1">
        <f t="array" aca="1" ref="AM15" ca="1">IFERROR(INDEX(INDEX(INDIRECT($A$2&amp;$AI15,TRUE),0),AM$2),"")</f>
        <v/>
      </c>
      <c r="AN15" s="6" t="str" cm="1">
        <f t="array" aca="1" ref="AN15" ca="1">IFERROR(INDEX(INDEX(INDIRECT($A$2&amp;$AI15,TRUE),0),AN$2),"")</f>
        <v/>
      </c>
      <c r="AO15" s="6" t="str" cm="1">
        <f t="array" aca="1" ref="AO15" ca="1">IFERROR(INDEX(INDEX(INDIRECT($A$2&amp;$AI15,TRUE),0),AO$2),"")</f>
        <v/>
      </c>
      <c r="AP15" s="6" t="str" cm="1">
        <f t="array" aca="1" ref="AP15" ca="1">IFERROR(INDEX(INDEX(INDIRECT($A$2&amp;$AI15,TRUE),0),AP$2),"")</f>
        <v/>
      </c>
      <c r="AQ15" s="6" t="str" cm="1">
        <f t="array" aca="1" ref="AQ15" ca="1">IFERROR(INDEX(INDEX(INDIRECT($A$2&amp;$AI15,TRUE),0),AQ$2),"")</f>
        <v/>
      </c>
      <c r="AR15" s="6" t="str" cm="1">
        <f t="array" aca="1" ref="AR15" ca="1">IFERROR(INDEX(INDEX(INDIRECT($A$2&amp;$AI15,TRUE),0),AR$2),"")</f>
        <v/>
      </c>
      <c r="AS15" s="6" t="str" cm="1">
        <f t="array" aca="1" ref="AS15" ca="1">IFERROR(INDEX(INDEX(INDIRECT($A$2&amp;$AI15,TRUE),0),AS$2),"")</f>
        <v/>
      </c>
      <c r="AT15" s="6" t="str" cm="1">
        <f t="array" aca="1" ref="AT15" ca="1">IFERROR(INDEX(INDEX(INDIRECT($A$2&amp;$AI15,TRUE),0),AT$2),"")</f>
        <v/>
      </c>
      <c r="AX15" s="11" t="str">
        <f t="shared" ca="1" si="75"/>
        <v/>
      </c>
      <c r="AY15" s="11" t="str">
        <f t="shared" ca="1" si="73"/>
        <v/>
      </c>
      <c r="AZ15" s="11" t="str">
        <f t="shared" ca="1" si="73"/>
        <v/>
      </c>
      <c r="BA15" s="11" t="str">
        <f t="shared" ca="1" si="73"/>
        <v/>
      </c>
      <c r="BB15" s="11" t="str">
        <f t="shared" ca="1" si="73"/>
        <v/>
      </c>
      <c r="BC15" s="11" t="str">
        <f t="shared" ca="1" si="73"/>
        <v/>
      </c>
      <c r="BD15" s="11" t="str">
        <f t="shared" ca="1" si="73"/>
        <v/>
      </c>
      <c r="BE15" s="11" t="str">
        <f t="shared" ca="1" si="77"/>
        <v/>
      </c>
      <c r="BF15" s="11" t="str">
        <f t="shared" ca="1" si="77"/>
        <v/>
      </c>
      <c r="BG15" s="11" t="str">
        <f t="shared" ca="1" si="77"/>
        <v/>
      </c>
      <c r="BH15" s="11" t="str">
        <f t="shared" ca="1" si="77"/>
        <v/>
      </c>
      <c r="BI15" s="11" t="str">
        <f t="shared" ca="1" si="77"/>
        <v/>
      </c>
      <c r="BJ15" s="11" t="str">
        <f t="shared" ca="1" si="77"/>
        <v/>
      </c>
      <c r="BK15" s="11" t="str">
        <f t="shared" ca="1" si="77"/>
        <v/>
      </c>
      <c r="BL15" s="11" t="str">
        <f t="shared" ca="1" si="77"/>
        <v/>
      </c>
      <c r="BM15" s="11" t="str">
        <f t="shared" ca="1" si="77"/>
        <v/>
      </c>
      <c r="BN15" s="11" t="str">
        <f t="shared" ca="1" si="77"/>
        <v/>
      </c>
      <c r="BO15" s="11" t="str">
        <f t="shared" ca="1" si="77"/>
        <v/>
      </c>
      <c r="BP15" s="11" t="str">
        <f t="shared" ca="1" si="77"/>
        <v/>
      </c>
      <c r="BQ15" s="11" t="str">
        <f t="shared" ca="1" si="77"/>
        <v/>
      </c>
      <c r="BR15" s="11" t="str">
        <f t="shared" ca="1" si="77"/>
        <v/>
      </c>
      <c r="BS15" s="11" t="str">
        <f t="shared" ca="1" si="77"/>
        <v/>
      </c>
      <c r="BT15" s="11" t="str">
        <f t="shared" ca="1" si="77"/>
        <v/>
      </c>
      <c r="BU15" s="11" t="str">
        <f t="shared" ca="1" si="77"/>
        <v/>
      </c>
      <c r="BV15" s="11" t="str">
        <f t="shared" ca="1" si="77"/>
        <v/>
      </c>
      <c r="BW15" s="11" t="str">
        <f t="shared" ca="1" si="77"/>
        <v/>
      </c>
      <c r="BX15" s="11" t="str">
        <f t="shared" ca="1" si="77"/>
        <v/>
      </c>
      <c r="BY15" s="11" t="str">
        <f t="shared" ca="1" si="77"/>
        <v/>
      </c>
      <c r="BZ15" s="11" t="str">
        <f t="shared" ca="1" si="77"/>
        <v/>
      </c>
    </row>
    <row r="16" spans="1:78">
      <c r="A16">
        <v>-12</v>
      </c>
      <c r="B16" s="1">
        <f t="shared" si="11"/>
        <v>-12</v>
      </c>
      <c r="C16" s="4" t="e">
        <f>MATCH(B16,テーブル1[日付],0)+1</f>
        <v>#N/A</v>
      </c>
      <c r="D16" t="e">
        <f>ADDRESS(C16,2,4,1)&amp;":"&amp;ADDRESS(C16+COUNTIF(テーブル1[日付],日毎の人員構成・人員別日毎の従事ライン!B16)-1,2,4,1)</f>
        <v>#N/A</v>
      </c>
      <c r="E16" t="e">
        <f>ADDRESS(C16,3,4,1)&amp;":"&amp;ADDRESS($C16+COUNTIF(テーブル1[日付],日毎の人員構成・人員別日毎の従事ライン!B16)-1,3,4,1)</f>
        <v>#N/A</v>
      </c>
      <c r="F16" s="4" t="e">
        <f t="shared" ca="1" si="12"/>
        <v>#N/A</v>
      </c>
      <c r="G16" s="4" t="e">
        <f t="shared" ca="1" si="12"/>
        <v>#N/A</v>
      </c>
      <c r="H16" s="4" t="e">
        <f t="shared" ca="1" si="12"/>
        <v>#N/A</v>
      </c>
      <c r="I16" s="4" t="e">
        <f t="shared" ca="1" si="12"/>
        <v>#N/A</v>
      </c>
      <c r="J16" s="4" t="e">
        <f t="shared" ca="1" si="12"/>
        <v>#N/A</v>
      </c>
      <c r="K16" s="4" t="e">
        <f t="shared" ca="1" si="12"/>
        <v>#N/A</v>
      </c>
      <c r="L16" s="4" t="e">
        <f t="shared" ca="1" si="12"/>
        <v>#N/A</v>
      </c>
      <c r="M16" s="4" t="e">
        <f t="shared" ca="1" si="7"/>
        <v>#N/A</v>
      </c>
      <c r="N16" s="4" t="e">
        <f t="shared" ca="1" si="7"/>
        <v>#N/A</v>
      </c>
      <c r="O16" s="4" t="e">
        <f t="shared" ca="1" si="7"/>
        <v>#N/A</v>
      </c>
      <c r="P16" s="4" t="e">
        <f t="shared" ca="1" si="7"/>
        <v>#N/A</v>
      </c>
      <c r="Q16" s="4" t="e">
        <f t="shared" ca="1" si="12"/>
        <v>#N/A</v>
      </c>
      <c r="R16" s="4" t="e">
        <f t="shared" ca="1" si="12"/>
        <v>#N/A</v>
      </c>
      <c r="S16" s="4" t="e">
        <f t="shared" ca="1" si="12"/>
        <v>#N/A</v>
      </c>
      <c r="T16" t="e">
        <f t="shared" ca="1" si="48"/>
        <v>#N/A</v>
      </c>
      <c r="U16" t="e">
        <f t="shared" ca="1" si="13"/>
        <v>#N/A</v>
      </c>
      <c r="V16" t="e">
        <f t="shared" ca="1" si="14"/>
        <v>#N/A</v>
      </c>
      <c r="W16" t="e">
        <f t="shared" ca="1" si="15"/>
        <v>#N/A</v>
      </c>
      <c r="X16" t="e">
        <f t="shared" ca="1" si="16"/>
        <v>#N/A</v>
      </c>
      <c r="Y16" t="e">
        <f t="shared" ca="1" si="17"/>
        <v>#N/A</v>
      </c>
      <c r="Z16" t="e">
        <f t="shared" ca="1" si="18"/>
        <v>#N/A</v>
      </c>
      <c r="AA16" t="e">
        <f t="shared" ca="1" si="49"/>
        <v>#N/A</v>
      </c>
      <c r="AB16" t="e">
        <f t="shared" ca="1" si="19"/>
        <v>#N/A</v>
      </c>
      <c r="AC16" t="e">
        <f t="shared" ca="1" si="20"/>
        <v>#N/A</v>
      </c>
      <c r="AD16" t="e">
        <f t="shared" ca="1" si="21"/>
        <v>#N/A</v>
      </c>
      <c r="AE16" t="e">
        <f t="shared" ca="1" si="22"/>
        <v>#N/A</v>
      </c>
      <c r="AF16" t="e">
        <f t="shared" ca="1" si="23"/>
        <v>#N/A</v>
      </c>
      <c r="AG16" t="e">
        <f t="shared" ca="1" si="24"/>
        <v>#N/A</v>
      </c>
      <c r="AH16" s="6">
        <v>3</v>
      </c>
      <c r="AI16" s="6" t="e">
        <f t="shared" si="78"/>
        <v>#N/A</v>
      </c>
      <c r="AJ16" s="6" t="s">
        <v>11</v>
      </c>
      <c r="AK16" s="6" t="str" cm="1">
        <f t="array" aca="1" ref="AK16" ca="1">IFERROR(INDEX(INDEX(INDIRECT($A$2&amp;$AI16,TRUE),0),AK$2),"")</f>
        <v/>
      </c>
      <c r="AL16" s="6" t="str" cm="1">
        <f t="array" aca="1" ref="AL16" ca="1">IFERROR(INDEX(INDEX(INDIRECT($A$2&amp;$AI16,TRUE),0),AL$2),"")</f>
        <v/>
      </c>
      <c r="AM16" s="6" t="str" cm="1">
        <f t="array" aca="1" ref="AM16" ca="1">IFERROR(INDEX(INDEX(INDIRECT($A$2&amp;$AI16,TRUE),0),AM$2),"")</f>
        <v/>
      </c>
      <c r="AN16" s="6" t="str" cm="1">
        <f t="array" aca="1" ref="AN16" ca="1">IFERROR(INDEX(INDEX(INDIRECT($A$2&amp;$AI16,TRUE),0),AN$2),"")</f>
        <v/>
      </c>
      <c r="AO16" s="6" t="str" cm="1">
        <f t="array" aca="1" ref="AO16" ca="1">IFERROR(INDEX(INDEX(INDIRECT($A$2&amp;$AI16,TRUE),0),AO$2),"")</f>
        <v/>
      </c>
      <c r="AP16" s="6" t="str" cm="1">
        <f t="array" aca="1" ref="AP16" ca="1">IFERROR(INDEX(INDEX(INDIRECT($A$2&amp;$AI16,TRUE),0),AP$2),"")</f>
        <v/>
      </c>
      <c r="AQ16" s="6" t="str" cm="1">
        <f t="array" aca="1" ref="AQ16" ca="1">IFERROR(INDEX(INDEX(INDIRECT($A$2&amp;$AI16,TRUE),0),AQ$2),"")</f>
        <v/>
      </c>
      <c r="AR16" s="6" t="str" cm="1">
        <f t="array" aca="1" ref="AR16" ca="1">IFERROR(INDEX(INDEX(INDIRECT($A$2&amp;$AI16,TRUE),0),AR$2),"")</f>
        <v/>
      </c>
      <c r="AS16" s="6" t="str" cm="1">
        <f t="array" aca="1" ref="AS16" ca="1">IFERROR(INDEX(INDEX(INDIRECT($A$2&amp;$AI16,TRUE),0),AS$2),"")</f>
        <v/>
      </c>
      <c r="AT16" s="6" t="str" cm="1">
        <f t="array" aca="1" ref="AT16" ca="1">IFERROR(INDEX(INDEX(INDIRECT($A$2&amp;$AI16,TRUE),0),AT$2),"")</f>
        <v/>
      </c>
      <c r="AX16" s="11" t="str">
        <f t="shared" ca="1" si="75"/>
        <v/>
      </c>
      <c r="AY16" s="11" t="str">
        <f t="shared" ca="1" si="73"/>
        <v/>
      </c>
      <c r="AZ16" s="11" t="str">
        <f t="shared" ca="1" si="73"/>
        <v/>
      </c>
      <c r="BA16" s="11" t="str">
        <f t="shared" ca="1" si="73"/>
        <v/>
      </c>
      <c r="BB16" s="11" t="str">
        <f t="shared" ca="1" si="73"/>
        <v/>
      </c>
      <c r="BC16" s="11" t="str">
        <f t="shared" ca="1" si="73"/>
        <v/>
      </c>
      <c r="BD16" s="11" t="str">
        <f t="shared" ca="1" si="73"/>
        <v/>
      </c>
      <c r="BE16" s="11" t="str">
        <f t="shared" ca="1" si="77"/>
        <v/>
      </c>
      <c r="BF16" s="11" t="str">
        <f t="shared" ca="1" si="77"/>
        <v/>
      </c>
      <c r="BG16" s="11" t="str">
        <f t="shared" ca="1" si="77"/>
        <v/>
      </c>
      <c r="BH16" s="11" t="str">
        <f t="shared" ca="1" si="77"/>
        <v/>
      </c>
      <c r="BI16" s="11" t="str">
        <f t="shared" ca="1" si="77"/>
        <v/>
      </c>
      <c r="BJ16" s="11" t="str">
        <f t="shared" ca="1" si="77"/>
        <v/>
      </c>
      <c r="BK16" s="11" t="str">
        <f t="shared" ca="1" si="77"/>
        <v/>
      </c>
      <c r="BL16" s="11" t="str">
        <f t="shared" ca="1" si="77"/>
        <v/>
      </c>
      <c r="BM16" s="11" t="str">
        <f t="shared" ca="1" si="77"/>
        <v/>
      </c>
      <c r="BN16" s="11" t="str">
        <f t="shared" ca="1" si="77"/>
        <v/>
      </c>
      <c r="BO16" s="11" t="str">
        <f t="shared" ca="1" si="77"/>
        <v/>
      </c>
      <c r="BP16" s="11" t="str">
        <f t="shared" ca="1" si="77"/>
        <v/>
      </c>
      <c r="BQ16" s="11" t="str">
        <f t="shared" ca="1" si="77"/>
        <v/>
      </c>
      <c r="BR16" s="11" t="str">
        <f t="shared" ca="1" si="77"/>
        <v/>
      </c>
      <c r="BS16" s="11" t="str">
        <f t="shared" ca="1" si="77"/>
        <v/>
      </c>
      <c r="BT16" s="11" t="str">
        <f t="shared" ca="1" si="77"/>
        <v/>
      </c>
      <c r="BU16" s="11" t="str">
        <f t="shared" ca="1" si="77"/>
        <v/>
      </c>
      <c r="BV16" s="11" t="str">
        <f t="shared" ca="1" si="77"/>
        <v/>
      </c>
      <c r="BW16" s="11" t="str">
        <f t="shared" ca="1" si="77"/>
        <v/>
      </c>
      <c r="BX16" s="11" t="str">
        <f t="shared" ca="1" si="77"/>
        <v/>
      </c>
      <c r="BY16" s="11" t="str">
        <f t="shared" ca="1" si="77"/>
        <v/>
      </c>
      <c r="BZ16" s="11" t="str">
        <f t="shared" ca="1" si="77"/>
        <v/>
      </c>
    </row>
    <row r="17" spans="1:78">
      <c r="A17">
        <v>-13</v>
      </c>
      <c r="B17" s="1">
        <f t="shared" si="11"/>
        <v>-13</v>
      </c>
      <c r="C17" s="4" t="e">
        <f>MATCH(B17,テーブル1[日付],0)+1</f>
        <v>#N/A</v>
      </c>
      <c r="D17" t="e">
        <f>ADDRESS(C17,2,4,1)&amp;":"&amp;ADDRESS(C17+COUNTIF(テーブル1[日付],日毎の人員構成・人員別日毎の従事ライン!B17)-1,2,4,1)</f>
        <v>#N/A</v>
      </c>
      <c r="E17" t="e">
        <f>ADDRESS(C17,3,4,1)&amp;":"&amp;ADDRESS($C17+COUNTIF(テーブル1[日付],日毎の人員構成・人員別日毎の従事ライン!B17)-1,3,4,1)</f>
        <v>#N/A</v>
      </c>
      <c r="F17" s="4" t="e">
        <f t="shared" ca="1" si="12"/>
        <v>#N/A</v>
      </c>
      <c r="G17" s="4" t="e">
        <f t="shared" ca="1" si="12"/>
        <v>#N/A</v>
      </c>
      <c r="H17" s="4" t="e">
        <f t="shared" ca="1" si="12"/>
        <v>#N/A</v>
      </c>
      <c r="I17" s="4" t="e">
        <f t="shared" ca="1" si="12"/>
        <v>#N/A</v>
      </c>
      <c r="J17" s="4" t="e">
        <f t="shared" ca="1" si="12"/>
        <v>#N/A</v>
      </c>
      <c r="K17" s="4" t="e">
        <f t="shared" ca="1" si="12"/>
        <v>#N/A</v>
      </c>
      <c r="L17" s="4" t="e">
        <f t="shared" ca="1" si="12"/>
        <v>#N/A</v>
      </c>
      <c r="M17" s="4" t="e">
        <f t="shared" ca="1" si="7"/>
        <v>#N/A</v>
      </c>
      <c r="N17" s="4" t="e">
        <f t="shared" ca="1" si="7"/>
        <v>#N/A</v>
      </c>
      <c r="O17" s="4" t="e">
        <f t="shared" ca="1" si="7"/>
        <v>#N/A</v>
      </c>
      <c r="P17" s="4" t="e">
        <f t="shared" ca="1" si="7"/>
        <v>#N/A</v>
      </c>
      <c r="Q17" s="4" t="e">
        <f t="shared" ca="1" si="12"/>
        <v>#N/A</v>
      </c>
      <c r="R17" s="4" t="e">
        <f t="shared" ca="1" si="12"/>
        <v>#N/A</v>
      </c>
      <c r="S17" s="4" t="e">
        <f t="shared" ca="1" si="12"/>
        <v>#N/A</v>
      </c>
      <c r="T17" t="e">
        <f t="shared" ca="1" si="48"/>
        <v>#N/A</v>
      </c>
      <c r="U17" t="e">
        <f t="shared" ca="1" si="13"/>
        <v>#N/A</v>
      </c>
      <c r="V17" t="e">
        <f t="shared" ca="1" si="14"/>
        <v>#N/A</v>
      </c>
      <c r="W17" t="e">
        <f t="shared" ca="1" si="15"/>
        <v>#N/A</v>
      </c>
      <c r="X17" t="e">
        <f t="shared" ca="1" si="16"/>
        <v>#N/A</v>
      </c>
      <c r="Y17" t="e">
        <f t="shared" ca="1" si="17"/>
        <v>#N/A</v>
      </c>
      <c r="Z17" t="e">
        <f t="shared" ca="1" si="18"/>
        <v>#N/A</v>
      </c>
      <c r="AA17" t="e">
        <f t="shared" ca="1" si="49"/>
        <v>#N/A</v>
      </c>
      <c r="AB17" t="e">
        <f t="shared" ca="1" si="19"/>
        <v>#N/A</v>
      </c>
      <c r="AC17" t="e">
        <f t="shared" ca="1" si="20"/>
        <v>#N/A</v>
      </c>
      <c r="AD17" t="e">
        <f t="shared" ca="1" si="21"/>
        <v>#N/A</v>
      </c>
      <c r="AE17" t="e">
        <f t="shared" ca="1" si="22"/>
        <v>#N/A</v>
      </c>
      <c r="AF17" t="e">
        <f t="shared" ca="1" si="23"/>
        <v>#N/A</v>
      </c>
      <c r="AG17" t="e">
        <f t="shared" ca="1" si="24"/>
        <v>#N/A</v>
      </c>
      <c r="AH17" s="6">
        <v>4</v>
      </c>
      <c r="AI17" s="6" t="e">
        <f t="shared" si="78"/>
        <v>#N/A</v>
      </c>
      <c r="AJ17" s="6" t="s">
        <v>32</v>
      </c>
      <c r="AK17" s="6" t="str" cm="1">
        <f t="array" aca="1" ref="AK17" ca="1">IFERROR(INDEX(INDEX(INDIRECT($A$2&amp;$AI17,TRUE),0),AK$2),"")</f>
        <v/>
      </c>
      <c r="AL17" s="6" t="str" cm="1">
        <f t="array" aca="1" ref="AL17" ca="1">IFERROR(INDEX(INDEX(INDIRECT($A$2&amp;$AI17,TRUE),0),AL$2),"")</f>
        <v/>
      </c>
      <c r="AM17" s="6" t="str" cm="1">
        <f t="array" aca="1" ref="AM17" ca="1">IFERROR(INDEX(INDEX(INDIRECT($A$2&amp;$AI17,TRUE),0),AM$2),"")</f>
        <v/>
      </c>
      <c r="AN17" s="6" t="str" cm="1">
        <f t="array" aca="1" ref="AN17" ca="1">IFERROR(INDEX(INDEX(INDIRECT($A$2&amp;$AI17,TRUE),0),AN$2),"")</f>
        <v/>
      </c>
      <c r="AO17" s="6" t="str" cm="1">
        <f t="array" aca="1" ref="AO17" ca="1">IFERROR(INDEX(INDEX(INDIRECT($A$2&amp;$AI17,TRUE),0),AO$2),"")</f>
        <v/>
      </c>
      <c r="AP17" s="6" t="str" cm="1">
        <f t="array" aca="1" ref="AP17" ca="1">IFERROR(INDEX(INDEX(INDIRECT($A$2&amp;$AI17,TRUE),0),AP$2),"")</f>
        <v/>
      </c>
      <c r="AQ17" s="6" t="str" cm="1">
        <f t="array" aca="1" ref="AQ17" ca="1">IFERROR(INDEX(INDEX(INDIRECT($A$2&amp;$AI17,TRUE),0),AQ$2),"")</f>
        <v/>
      </c>
      <c r="AR17" s="6" t="str" cm="1">
        <f t="array" aca="1" ref="AR17" ca="1">IFERROR(INDEX(INDEX(INDIRECT($A$2&amp;$AI17,TRUE),0),AR$2),"")</f>
        <v/>
      </c>
      <c r="AS17" s="6" t="str" cm="1">
        <f t="array" aca="1" ref="AS17" ca="1">IFERROR(INDEX(INDEX(INDIRECT($A$2&amp;$AI17,TRUE),0),AS$2),"")</f>
        <v/>
      </c>
      <c r="AT17" s="6" t="str" cm="1">
        <f t="array" aca="1" ref="AT17" ca="1">IFERROR(INDEX(INDEX(INDIRECT($A$2&amp;$AI17,TRUE),0),AT$2),"")</f>
        <v/>
      </c>
      <c r="AX17" s="11" t="str">
        <f t="shared" ca="1" si="75"/>
        <v/>
      </c>
      <c r="AY17" s="11" t="str">
        <f t="shared" ca="1" si="73"/>
        <v/>
      </c>
      <c r="AZ17" s="11" t="str">
        <f t="shared" ca="1" si="73"/>
        <v/>
      </c>
      <c r="BA17" s="11" t="str">
        <f t="shared" ca="1" si="73"/>
        <v/>
      </c>
      <c r="BB17" s="11" t="str">
        <f t="shared" ca="1" si="73"/>
        <v/>
      </c>
      <c r="BC17" s="11" t="str">
        <f t="shared" ca="1" si="73"/>
        <v/>
      </c>
      <c r="BD17" s="11" t="str">
        <f t="shared" ca="1" si="73"/>
        <v/>
      </c>
      <c r="BE17" s="11" t="str">
        <f t="shared" ref="BE17:BZ21" ca="1" si="79">IFERROR(INDEX(INDIRECT(BE$1,TRUE),MATCH($AW17,INDIRECT(BE$2,TRUE),0)),"")</f>
        <v/>
      </c>
      <c r="BF17" s="11" t="str">
        <f t="shared" ca="1" si="79"/>
        <v/>
      </c>
      <c r="BG17" s="11" t="str">
        <f t="shared" ca="1" si="79"/>
        <v/>
      </c>
      <c r="BH17" s="11" t="str">
        <f t="shared" ca="1" si="79"/>
        <v/>
      </c>
      <c r="BI17" s="11" t="str">
        <f t="shared" ca="1" si="79"/>
        <v/>
      </c>
      <c r="BJ17" s="11" t="str">
        <f t="shared" ca="1" si="79"/>
        <v/>
      </c>
      <c r="BK17" s="11" t="str">
        <f t="shared" ca="1" si="79"/>
        <v/>
      </c>
      <c r="BL17" s="11" t="str">
        <f t="shared" ca="1" si="79"/>
        <v/>
      </c>
      <c r="BM17" s="11" t="str">
        <f t="shared" ca="1" si="79"/>
        <v/>
      </c>
      <c r="BN17" s="11" t="str">
        <f t="shared" ca="1" si="79"/>
        <v/>
      </c>
      <c r="BO17" s="11" t="str">
        <f t="shared" ca="1" si="79"/>
        <v/>
      </c>
      <c r="BP17" s="11" t="str">
        <f t="shared" ca="1" si="79"/>
        <v/>
      </c>
      <c r="BQ17" s="11" t="str">
        <f t="shared" ca="1" si="79"/>
        <v/>
      </c>
      <c r="BR17" s="11" t="str">
        <f t="shared" ca="1" si="79"/>
        <v/>
      </c>
      <c r="BS17" s="11" t="str">
        <f t="shared" ca="1" si="79"/>
        <v/>
      </c>
      <c r="BT17" s="11" t="str">
        <f t="shared" ca="1" si="79"/>
        <v/>
      </c>
      <c r="BU17" s="11" t="str">
        <f t="shared" ca="1" si="79"/>
        <v/>
      </c>
      <c r="BV17" s="11" t="str">
        <f t="shared" ca="1" si="79"/>
        <v/>
      </c>
      <c r="BW17" s="11" t="str">
        <f t="shared" ca="1" si="79"/>
        <v/>
      </c>
      <c r="BX17" s="11" t="str">
        <f t="shared" ca="1" si="79"/>
        <v/>
      </c>
      <c r="BY17" s="11" t="str">
        <f t="shared" ca="1" si="79"/>
        <v/>
      </c>
      <c r="BZ17" s="11" t="str">
        <f t="shared" ca="1" si="79"/>
        <v/>
      </c>
    </row>
    <row r="18" spans="1:78">
      <c r="A18">
        <v>-14</v>
      </c>
      <c r="B18" s="1">
        <f t="shared" si="11"/>
        <v>-14</v>
      </c>
      <c r="C18" s="4" t="e">
        <f>MATCH(B18,テーブル1[日付],0)+1</f>
        <v>#N/A</v>
      </c>
      <c r="D18" t="e">
        <f>ADDRESS(C18,2,4,1)&amp;":"&amp;ADDRESS(C18+COUNTIF(テーブル1[日付],日毎の人員構成・人員別日毎の従事ライン!B18)-1,2,4,1)</f>
        <v>#N/A</v>
      </c>
      <c r="E18" t="e">
        <f>ADDRESS(C18,3,4,1)&amp;":"&amp;ADDRESS($C18+COUNTIF(テーブル1[日付],日毎の人員構成・人員別日毎の従事ライン!B18)-1,3,4,1)</f>
        <v>#N/A</v>
      </c>
      <c r="F18" s="4" t="e">
        <f t="shared" ca="1" si="12"/>
        <v>#N/A</v>
      </c>
      <c r="G18" s="4" t="e">
        <f t="shared" ca="1" si="12"/>
        <v>#N/A</v>
      </c>
      <c r="H18" s="4" t="e">
        <f t="shared" ca="1" si="12"/>
        <v>#N/A</v>
      </c>
      <c r="I18" s="4" t="e">
        <f t="shared" ca="1" si="12"/>
        <v>#N/A</v>
      </c>
      <c r="J18" s="4" t="e">
        <f t="shared" ca="1" si="12"/>
        <v>#N/A</v>
      </c>
      <c r="K18" s="4" t="e">
        <f t="shared" ca="1" si="12"/>
        <v>#N/A</v>
      </c>
      <c r="L18" s="4" t="e">
        <f t="shared" ca="1" si="12"/>
        <v>#N/A</v>
      </c>
      <c r="M18" s="4" t="e">
        <f t="shared" ca="1" si="7"/>
        <v>#N/A</v>
      </c>
      <c r="N18" s="4" t="e">
        <f t="shared" ca="1" si="7"/>
        <v>#N/A</v>
      </c>
      <c r="O18" s="4" t="e">
        <f t="shared" ca="1" si="7"/>
        <v>#N/A</v>
      </c>
      <c r="P18" s="4" t="e">
        <f t="shared" ca="1" si="7"/>
        <v>#N/A</v>
      </c>
      <c r="Q18" s="4" t="e">
        <f t="shared" ca="1" si="12"/>
        <v>#N/A</v>
      </c>
      <c r="R18" s="4" t="e">
        <f t="shared" ca="1" si="12"/>
        <v>#N/A</v>
      </c>
      <c r="S18" s="4" t="e">
        <f t="shared" ca="1" si="12"/>
        <v>#N/A</v>
      </c>
      <c r="T18" t="e">
        <f t="shared" ca="1" si="48"/>
        <v>#N/A</v>
      </c>
      <c r="U18" t="e">
        <f t="shared" ca="1" si="13"/>
        <v>#N/A</v>
      </c>
      <c r="V18" t="e">
        <f t="shared" ca="1" si="14"/>
        <v>#N/A</v>
      </c>
      <c r="W18" t="e">
        <f t="shared" ca="1" si="15"/>
        <v>#N/A</v>
      </c>
      <c r="X18" t="e">
        <f t="shared" ca="1" si="16"/>
        <v>#N/A</v>
      </c>
      <c r="Y18" t="e">
        <f t="shared" ca="1" si="17"/>
        <v>#N/A</v>
      </c>
      <c r="Z18" t="e">
        <f t="shared" ca="1" si="18"/>
        <v>#N/A</v>
      </c>
      <c r="AA18" t="e">
        <f t="shared" ca="1" si="49"/>
        <v>#N/A</v>
      </c>
      <c r="AB18" t="e">
        <f t="shared" ca="1" si="19"/>
        <v>#N/A</v>
      </c>
      <c r="AC18" t="e">
        <f t="shared" ca="1" si="20"/>
        <v>#N/A</v>
      </c>
      <c r="AD18" t="e">
        <f t="shared" ca="1" si="21"/>
        <v>#N/A</v>
      </c>
      <c r="AE18" t="e">
        <f t="shared" ca="1" si="22"/>
        <v>#N/A</v>
      </c>
      <c r="AF18" t="e">
        <f t="shared" ca="1" si="23"/>
        <v>#N/A</v>
      </c>
      <c r="AG18" t="e">
        <f t="shared" ca="1" si="24"/>
        <v>#N/A</v>
      </c>
      <c r="AH18" s="6">
        <v>5</v>
      </c>
      <c r="AI18" s="6" t="e">
        <f t="shared" si="78"/>
        <v>#N/A</v>
      </c>
      <c r="AJ18" s="6" t="s">
        <v>37</v>
      </c>
      <c r="AK18" s="6" t="str" cm="1">
        <f t="array" aca="1" ref="AK18" ca="1">IFERROR(INDEX(INDEX(INDIRECT($A$2&amp;$AI18,TRUE),0),AK$2),"")</f>
        <v/>
      </c>
      <c r="AL18" s="6" t="str" cm="1">
        <f t="array" aca="1" ref="AL18" ca="1">IFERROR(INDEX(INDEX(INDIRECT($A$2&amp;$AI18,TRUE),0),AL$2),"")</f>
        <v/>
      </c>
      <c r="AM18" s="6" t="str" cm="1">
        <f t="array" aca="1" ref="AM18" ca="1">IFERROR(INDEX(INDEX(INDIRECT($A$2&amp;$AI18,TRUE),0),AM$2),"")</f>
        <v/>
      </c>
      <c r="AN18" s="6" t="str" cm="1">
        <f t="array" aca="1" ref="AN18" ca="1">IFERROR(INDEX(INDEX(INDIRECT($A$2&amp;$AI18,TRUE),0),AN$2),"")</f>
        <v/>
      </c>
      <c r="AO18" s="6" t="str" cm="1">
        <f t="array" aca="1" ref="AO18" ca="1">IFERROR(INDEX(INDEX(INDIRECT($A$2&amp;$AI18,TRUE),0),AO$2),"")</f>
        <v/>
      </c>
      <c r="AP18" s="6" t="str" cm="1">
        <f t="array" aca="1" ref="AP18" ca="1">IFERROR(INDEX(INDEX(INDIRECT($A$2&amp;$AI18,TRUE),0),AP$2),"")</f>
        <v/>
      </c>
      <c r="AQ18" s="6" t="str" cm="1">
        <f t="array" aca="1" ref="AQ18" ca="1">IFERROR(INDEX(INDEX(INDIRECT($A$2&amp;$AI18,TRUE),0),AQ$2),"")</f>
        <v/>
      </c>
      <c r="AR18" s="6" t="str" cm="1">
        <f t="array" aca="1" ref="AR18" ca="1">IFERROR(INDEX(INDEX(INDIRECT($A$2&amp;$AI18,TRUE),0),AR$2),"")</f>
        <v/>
      </c>
      <c r="AS18" s="6" t="str" cm="1">
        <f t="array" aca="1" ref="AS18" ca="1">IFERROR(INDEX(INDEX(INDIRECT($A$2&amp;$AI18,TRUE),0),AS$2),"")</f>
        <v/>
      </c>
      <c r="AT18" s="6" t="str" cm="1">
        <f t="array" aca="1" ref="AT18" ca="1">IFERROR(INDEX(INDEX(INDIRECT($A$2&amp;$AI18,TRUE),0),AT$2),"")</f>
        <v/>
      </c>
      <c r="AX18" s="11" t="str">
        <f t="shared" ca="1" si="75"/>
        <v/>
      </c>
      <c r="AY18" s="11" t="str">
        <f t="shared" ca="1" si="73"/>
        <v/>
      </c>
      <c r="AZ18" s="11" t="str">
        <f t="shared" ca="1" si="73"/>
        <v/>
      </c>
      <c r="BA18" s="11" t="str">
        <f t="shared" ca="1" si="73"/>
        <v/>
      </c>
      <c r="BB18" s="11" t="str">
        <f t="shared" ca="1" si="73"/>
        <v/>
      </c>
      <c r="BC18" s="11" t="str">
        <f t="shared" ca="1" si="73"/>
        <v/>
      </c>
      <c r="BD18" s="11" t="str">
        <f t="shared" ca="1" si="73"/>
        <v/>
      </c>
      <c r="BE18" s="11" t="str">
        <f t="shared" ca="1" si="79"/>
        <v/>
      </c>
      <c r="BF18" s="11" t="str">
        <f t="shared" ca="1" si="79"/>
        <v/>
      </c>
      <c r="BG18" s="11" t="str">
        <f t="shared" ca="1" si="79"/>
        <v/>
      </c>
      <c r="BH18" s="11" t="str">
        <f t="shared" ca="1" si="79"/>
        <v/>
      </c>
      <c r="BI18" s="11" t="str">
        <f t="shared" ca="1" si="79"/>
        <v/>
      </c>
      <c r="BJ18" s="11" t="str">
        <f t="shared" ca="1" si="79"/>
        <v/>
      </c>
      <c r="BK18" s="11" t="str">
        <f t="shared" ca="1" si="79"/>
        <v/>
      </c>
      <c r="BL18" s="11" t="str">
        <f t="shared" ca="1" si="79"/>
        <v/>
      </c>
      <c r="BM18" s="11" t="str">
        <f t="shared" ca="1" si="79"/>
        <v/>
      </c>
      <c r="BN18" s="11" t="str">
        <f t="shared" ca="1" si="79"/>
        <v/>
      </c>
      <c r="BO18" s="11" t="str">
        <f t="shared" ca="1" si="79"/>
        <v/>
      </c>
      <c r="BP18" s="11" t="str">
        <f t="shared" ca="1" si="79"/>
        <v/>
      </c>
      <c r="BQ18" s="11" t="str">
        <f t="shared" ca="1" si="79"/>
        <v/>
      </c>
      <c r="BR18" s="11" t="str">
        <f t="shared" ca="1" si="79"/>
        <v/>
      </c>
      <c r="BS18" s="11" t="str">
        <f t="shared" ca="1" si="79"/>
        <v/>
      </c>
      <c r="BT18" s="11" t="str">
        <f t="shared" ca="1" si="79"/>
        <v/>
      </c>
      <c r="BU18" s="11" t="str">
        <f t="shared" ca="1" si="79"/>
        <v/>
      </c>
      <c r="BV18" s="11" t="str">
        <f t="shared" ca="1" si="79"/>
        <v/>
      </c>
      <c r="BW18" s="11" t="str">
        <f t="shared" ca="1" si="79"/>
        <v/>
      </c>
      <c r="BX18" s="11" t="str">
        <f t="shared" ca="1" si="79"/>
        <v/>
      </c>
      <c r="BY18" s="11" t="str">
        <f t="shared" ca="1" si="79"/>
        <v/>
      </c>
      <c r="BZ18" s="11" t="str">
        <f t="shared" ca="1" si="79"/>
        <v/>
      </c>
    </row>
    <row r="19" spans="1:78">
      <c r="A19">
        <v>-15</v>
      </c>
      <c r="B19" s="1">
        <f t="shared" si="11"/>
        <v>-15</v>
      </c>
      <c r="C19" s="4" t="e">
        <f>MATCH(B19,テーブル1[日付],0)+1</f>
        <v>#N/A</v>
      </c>
      <c r="D19" t="e">
        <f>ADDRESS(C19,2,4,1)&amp;":"&amp;ADDRESS(C19+COUNTIF(テーブル1[日付],日毎の人員構成・人員別日毎の従事ライン!B19)-1,2,4,1)</f>
        <v>#N/A</v>
      </c>
      <c r="E19" t="e">
        <f>ADDRESS(C19,3,4,1)&amp;":"&amp;ADDRESS($C19+COUNTIF(テーブル1[日付],日毎の人員構成・人員別日毎の従事ライン!B19)-1,3,4,1)</f>
        <v>#N/A</v>
      </c>
      <c r="F19" s="4" t="e">
        <f t="shared" ca="1" si="12"/>
        <v>#N/A</v>
      </c>
      <c r="G19" s="4" t="e">
        <f t="shared" ca="1" si="12"/>
        <v>#N/A</v>
      </c>
      <c r="H19" s="4" t="e">
        <f t="shared" ca="1" si="12"/>
        <v>#N/A</v>
      </c>
      <c r="I19" s="4" t="e">
        <f t="shared" ca="1" si="12"/>
        <v>#N/A</v>
      </c>
      <c r="J19" s="4" t="e">
        <f t="shared" ca="1" si="12"/>
        <v>#N/A</v>
      </c>
      <c r="K19" s="4" t="e">
        <f t="shared" ca="1" si="12"/>
        <v>#N/A</v>
      </c>
      <c r="L19" s="4" t="e">
        <f t="shared" ca="1" si="12"/>
        <v>#N/A</v>
      </c>
      <c r="M19" s="4" t="e">
        <f t="shared" ca="1" si="7"/>
        <v>#N/A</v>
      </c>
      <c r="N19" s="4" t="e">
        <f t="shared" ca="1" si="7"/>
        <v>#N/A</v>
      </c>
      <c r="O19" s="4" t="e">
        <f t="shared" ca="1" si="7"/>
        <v>#N/A</v>
      </c>
      <c r="P19" s="4" t="e">
        <f t="shared" ca="1" si="7"/>
        <v>#N/A</v>
      </c>
      <c r="Q19" s="4" t="e">
        <f t="shared" ca="1" si="12"/>
        <v>#N/A</v>
      </c>
      <c r="R19" s="4" t="e">
        <f t="shared" ca="1" si="12"/>
        <v>#N/A</v>
      </c>
      <c r="S19" s="4" t="e">
        <f t="shared" ca="1" si="12"/>
        <v>#N/A</v>
      </c>
      <c r="T19" t="e">
        <f t="shared" ca="1" si="48"/>
        <v>#N/A</v>
      </c>
      <c r="U19" t="e">
        <f t="shared" ca="1" si="13"/>
        <v>#N/A</v>
      </c>
      <c r="V19" t="e">
        <f t="shared" ca="1" si="14"/>
        <v>#N/A</v>
      </c>
      <c r="W19" t="e">
        <f t="shared" ca="1" si="15"/>
        <v>#N/A</v>
      </c>
      <c r="X19" t="e">
        <f t="shared" ca="1" si="16"/>
        <v>#N/A</v>
      </c>
      <c r="Y19" t="e">
        <f t="shared" ca="1" si="17"/>
        <v>#N/A</v>
      </c>
      <c r="Z19" t="e">
        <f t="shared" ca="1" si="18"/>
        <v>#N/A</v>
      </c>
      <c r="AA19" t="e">
        <f t="shared" ca="1" si="49"/>
        <v>#N/A</v>
      </c>
      <c r="AB19" t="e">
        <f t="shared" ca="1" si="19"/>
        <v>#N/A</v>
      </c>
      <c r="AC19" t="e">
        <f t="shared" ca="1" si="20"/>
        <v>#N/A</v>
      </c>
      <c r="AD19" t="e">
        <f t="shared" ca="1" si="21"/>
        <v>#N/A</v>
      </c>
      <c r="AE19" t="e">
        <f t="shared" ca="1" si="22"/>
        <v>#N/A</v>
      </c>
      <c r="AF19" t="e">
        <f t="shared" ca="1" si="23"/>
        <v>#N/A</v>
      </c>
      <c r="AG19" t="e">
        <f t="shared" ca="1" si="24"/>
        <v>#N/A</v>
      </c>
      <c r="AH19" s="6">
        <v>6</v>
      </c>
      <c r="AI19" s="6" t="e">
        <f t="shared" si="78"/>
        <v>#N/A</v>
      </c>
      <c r="AJ19" s="6" t="s">
        <v>41</v>
      </c>
      <c r="AK19" s="6" t="str" cm="1">
        <f t="array" aca="1" ref="AK19" ca="1">IFERROR(INDEX(INDEX(INDIRECT($A$2&amp;$AI19,TRUE),0),AK$2),"")</f>
        <v/>
      </c>
      <c r="AL19" s="6" t="str" cm="1">
        <f t="array" aca="1" ref="AL19" ca="1">IFERROR(INDEX(INDEX(INDIRECT($A$2&amp;$AI19,TRUE),0),AL$2),"")</f>
        <v/>
      </c>
      <c r="AM19" s="6" t="str" cm="1">
        <f t="array" aca="1" ref="AM19" ca="1">IFERROR(INDEX(INDEX(INDIRECT($A$2&amp;$AI19,TRUE),0),AM$2),"")</f>
        <v/>
      </c>
      <c r="AN19" s="6" t="str" cm="1">
        <f t="array" aca="1" ref="AN19" ca="1">IFERROR(INDEX(INDEX(INDIRECT($A$2&amp;$AI19,TRUE),0),AN$2),"")</f>
        <v/>
      </c>
      <c r="AO19" s="6" t="str" cm="1">
        <f t="array" aca="1" ref="AO19" ca="1">IFERROR(INDEX(INDEX(INDIRECT($A$2&amp;$AI19,TRUE),0),AO$2),"")</f>
        <v/>
      </c>
      <c r="AP19" s="6" t="str" cm="1">
        <f t="array" aca="1" ref="AP19" ca="1">IFERROR(INDEX(INDEX(INDIRECT($A$2&amp;$AI19,TRUE),0),AP$2),"")</f>
        <v/>
      </c>
      <c r="AQ19" s="6" t="str" cm="1">
        <f t="array" aca="1" ref="AQ19" ca="1">IFERROR(INDEX(INDEX(INDIRECT($A$2&amp;$AI19,TRUE),0),AQ$2),"")</f>
        <v/>
      </c>
      <c r="AR19" s="6" t="str" cm="1">
        <f t="array" aca="1" ref="AR19" ca="1">IFERROR(INDEX(INDEX(INDIRECT($A$2&amp;$AI19,TRUE),0),AR$2),"")</f>
        <v/>
      </c>
      <c r="AS19" s="6" t="str" cm="1">
        <f t="array" aca="1" ref="AS19" ca="1">IFERROR(INDEX(INDEX(INDIRECT($A$2&amp;$AI19,TRUE),0),AS$2),"")</f>
        <v/>
      </c>
      <c r="AT19" s="6" t="str" cm="1">
        <f t="array" aca="1" ref="AT19" ca="1">IFERROR(INDEX(INDEX(INDIRECT($A$2&amp;$AI19,TRUE),0),AT$2),"")</f>
        <v/>
      </c>
      <c r="AX19" s="11" t="str">
        <f t="shared" ca="1" si="75"/>
        <v/>
      </c>
      <c r="AY19" s="11" t="str">
        <f t="shared" ca="1" si="73"/>
        <v/>
      </c>
      <c r="AZ19" s="11" t="str">
        <f t="shared" ca="1" si="73"/>
        <v/>
      </c>
      <c r="BA19" s="11" t="str">
        <f t="shared" ca="1" si="73"/>
        <v/>
      </c>
      <c r="BB19" s="11" t="str">
        <f t="shared" ca="1" si="73"/>
        <v/>
      </c>
      <c r="BC19" s="11" t="str">
        <f t="shared" ca="1" si="73"/>
        <v/>
      </c>
      <c r="BD19" s="11" t="str">
        <f t="shared" ca="1" si="73"/>
        <v/>
      </c>
      <c r="BE19" s="11" t="str">
        <f t="shared" ca="1" si="79"/>
        <v/>
      </c>
      <c r="BF19" s="11" t="str">
        <f t="shared" ca="1" si="79"/>
        <v/>
      </c>
      <c r="BG19" s="11" t="str">
        <f t="shared" ca="1" si="79"/>
        <v/>
      </c>
      <c r="BH19" s="11" t="str">
        <f t="shared" ca="1" si="79"/>
        <v/>
      </c>
      <c r="BI19" s="11" t="str">
        <f t="shared" ca="1" si="79"/>
        <v/>
      </c>
      <c r="BJ19" s="11" t="str">
        <f t="shared" ca="1" si="79"/>
        <v/>
      </c>
      <c r="BK19" s="11" t="str">
        <f t="shared" ca="1" si="79"/>
        <v/>
      </c>
      <c r="BL19" s="11" t="str">
        <f t="shared" ca="1" si="79"/>
        <v/>
      </c>
      <c r="BM19" s="11" t="str">
        <f t="shared" ca="1" si="79"/>
        <v/>
      </c>
      <c r="BN19" s="11" t="str">
        <f t="shared" ca="1" si="79"/>
        <v/>
      </c>
      <c r="BO19" s="11" t="str">
        <f t="shared" ca="1" si="79"/>
        <v/>
      </c>
      <c r="BP19" s="11" t="str">
        <f t="shared" ca="1" si="79"/>
        <v/>
      </c>
      <c r="BQ19" s="11" t="str">
        <f t="shared" ca="1" si="79"/>
        <v/>
      </c>
      <c r="BR19" s="11" t="str">
        <f t="shared" ca="1" si="79"/>
        <v/>
      </c>
      <c r="BS19" s="11" t="str">
        <f t="shared" ca="1" si="79"/>
        <v/>
      </c>
      <c r="BT19" s="11" t="str">
        <f t="shared" ca="1" si="79"/>
        <v/>
      </c>
      <c r="BU19" s="11" t="str">
        <f t="shared" ca="1" si="79"/>
        <v/>
      </c>
      <c r="BV19" s="11" t="str">
        <f t="shared" ca="1" si="79"/>
        <v/>
      </c>
      <c r="BW19" s="11" t="str">
        <f t="shared" ca="1" si="79"/>
        <v/>
      </c>
      <c r="BX19" s="11" t="str">
        <f t="shared" ca="1" si="79"/>
        <v/>
      </c>
      <c r="BY19" s="11" t="str">
        <f t="shared" ca="1" si="79"/>
        <v/>
      </c>
      <c r="BZ19" s="11" t="str">
        <f t="shared" ca="1" si="79"/>
        <v/>
      </c>
    </row>
    <row r="20" spans="1:78">
      <c r="A20">
        <v>-16</v>
      </c>
      <c r="B20" s="1">
        <f t="shared" si="11"/>
        <v>-16</v>
      </c>
      <c r="C20" s="4" t="e">
        <f>MATCH(B20,テーブル1[日付],0)+1</f>
        <v>#N/A</v>
      </c>
      <c r="D20" t="e">
        <f>ADDRESS(C20,2,4,1)&amp;":"&amp;ADDRESS(C20+COUNTIF(テーブル1[日付],日毎の人員構成・人員別日毎の従事ライン!B20)-1,2,4,1)</f>
        <v>#N/A</v>
      </c>
      <c r="E20" t="e">
        <f>ADDRESS(C20,3,4,1)&amp;":"&amp;ADDRESS($C20+COUNTIF(テーブル1[日付],日毎の人員構成・人員別日毎の従事ライン!B20)-1,3,4,1)</f>
        <v>#N/A</v>
      </c>
      <c r="F20" s="4" t="e">
        <f t="shared" ca="1" si="12"/>
        <v>#N/A</v>
      </c>
      <c r="G20" s="4" t="e">
        <f t="shared" ca="1" si="12"/>
        <v>#N/A</v>
      </c>
      <c r="H20" s="4" t="e">
        <f t="shared" ca="1" si="12"/>
        <v>#N/A</v>
      </c>
      <c r="I20" s="4" t="e">
        <f t="shared" ca="1" si="12"/>
        <v>#N/A</v>
      </c>
      <c r="J20" s="4" t="e">
        <f t="shared" ca="1" si="12"/>
        <v>#N/A</v>
      </c>
      <c r="K20" s="4" t="e">
        <f t="shared" ca="1" si="12"/>
        <v>#N/A</v>
      </c>
      <c r="L20" s="4" t="e">
        <f t="shared" ca="1" si="12"/>
        <v>#N/A</v>
      </c>
      <c r="M20" s="4" t="e">
        <f t="shared" ca="1" si="12"/>
        <v>#N/A</v>
      </c>
      <c r="N20" s="4" t="e">
        <f t="shared" ca="1" si="12"/>
        <v>#N/A</v>
      </c>
      <c r="O20" s="4" t="e">
        <f t="shared" ca="1" si="12"/>
        <v>#N/A</v>
      </c>
      <c r="P20" s="4" t="e">
        <f t="shared" ca="1" si="12"/>
        <v>#N/A</v>
      </c>
      <c r="Q20" s="4" t="e">
        <f t="shared" ca="1" si="12"/>
        <v>#N/A</v>
      </c>
      <c r="R20" s="4" t="e">
        <f t="shared" ref="R20:S54" ca="1" si="80">MATCH(R$3,INDIRECT($A$2&amp;$D20,TRUE),0)+$C20-1</f>
        <v>#N/A</v>
      </c>
      <c r="S20" s="4" t="e">
        <f t="shared" ca="1" si="80"/>
        <v>#N/A</v>
      </c>
      <c r="T20" t="e">
        <f t="shared" ca="1" si="48"/>
        <v>#N/A</v>
      </c>
      <c r="U20" t="e">
        <f t="shared" ca="1" si="13"/>
        <v>#N/A</v>
      </c>
      <c r="V20" t="e">
        <f t="shared" ca="1" si="14"/>
        <v>#N/A</v>
      </c>
      <c r="W20" t="e">
        <f t="shared" ca="1" si="15"/>
        <v>#N/A</v>
      </c>
      <c r="X20" t="e">
        <f t="shared" ca="1" si="16"/>
        <v>#N/A</v>
      </c>
      <c r="Y20" t="e">
        <f t="shared" ca="1" si="17"/>
        <v>#N/A</v>
      </c>
      <c r="Z20" t="e">
        <f t="shared" ca="1" si="18"/>
        <v>#N/A</v>
      </c>
      <c r="AA20" t="e">
        <f t="shared" ca="1" si="49"/>
        <v>#N/A</v>
      </c>
      <c r="AB20" t="e">
        <f t="shared" ca="1" si="19"/>
        <v>#N/A</v>
      </c>
      <c r="AC20" t="e">
        <f t="shared" ca="1" si="20"/>
        <v>#N/A</v>
      </c>
      <c r="AD20" t="e">
        <f t="shared" ca="1" si="21"/>
        <v>#N/A</v>
      </c>
      <c r="AE20" t="e">
        <f t="shared" ca="1" si="22"/>
        <v>#N/A</v>
      </c>
      <c r="AF20" t="e">
        <f t="shared" ca="1" si="23"/>
        <v>#N/A</v>
      </c>
      <c r="AG20" t="e">
        <f t="shared" ca="1" si="24"/>
        <v>#N/A</v>
      </c>
      <c r="AI20" t="s">
        <v>63</v>
      </c>
      <c r="AJ20" s="8">
        <f>AJ13-1</f>
        <v>-2</v>
      </c>
      <c r="AK20" s="9" t="e">
        <f>" ("&amp;CHOOSE(WEEKDAY(AJ20,1),"日","月","火","水","木","金","土")&amp;")"</f>
        <v>#NUM!</v>
      </c>
      <c r="AL20" s="10"/>
      <c r="AM20" s="10"/>
      <c r="AN20" s="10"/>
      <c r="AO20" s="10"/>
      <c r="AP20" s="10"/>
      <c r="AQ20" s="10"/>
      <c r="AR20" s="10"/>
      <c r="AS20" s="10"/>
      <c r="AT20" s="10"/>
      <c r="AX20" s="11" t="str">
        <f t="shared" ca="1" si="75"/>
        <v/>
      </c>
      <c r="AY20" s="11" t="str">
        <f t="shared" ca="1" si="73"/>
        <v/>
      </c>
      <c r="AZ20" s="11" t="str">
        <f t="shared" ca="1" si="73"/>
        <v/>
      </c>
      <c r="BA20" s="11" t="str">
        <f t="shared" ca="1" si="73"/>
        <v/>
      </c>
      <c r="BB20" s="11" t="str">
        <f t="shared" ca="1" si="73"/>
        <v/>
      </c>
      <c r="BC20" s="11" t="str">
        <f t="shared" ca="1" si="73"/>
        <v/>
      </c>
      <c r="BD20" s="11" t="str">
        <f t="shared" ca="1" si="73"/>
        <v/>
      </c>
      <c r="BE20" s="11" t="str">
        <f t="shared" ca="1" si="79"/>
        <v/>
      </c>
      <c r="BF20" s="11" t="str">
        <f t="shared" ca="1" si="79"/>
        <v/>
      </c>
      <c r="BG20" s="11" t="str">
        <f t="shared" ca="1" si="79"/>
        <v/>
      </c>
      <c r="BH20" s="11" t="str">
        <f t="shared" ca="1" si="79"/>
        <v/>
      </c>
      <c r="BI20" s="11" t="str">
        <f t="shared" ca="1" si="79"/>
        <v/>
      </c>
      <c r="BJ20" s="11" t="str">
        <f t="shared" ca="1" si="79"/>
        <v/>
      </c>
      <c r="BK20" s="11" t="str">
        <f t="shared" ca="1" si="79"/>
        <v/>
      </c>
      <c r="BL20" s="11" t="str">
        <f t="shared" ca="1" si="79"/>
        <v/>
      </c>
      <c r="BM20" s="11" t="str">
        <f t="shared" ca="1" si="79"/>
        <v/>
      </c>
      <c r="BN20" s="11" t="str">
        <f t="shared" ca="1" si="79"/>
        <v/>
      </c>
      <c r="BO20" s="11" t="str">
        <f t="shared" ca="1" si="79"/>
        <v/>
      </c>
      <c r="BP20" s="11" t="str">
        <f t="shared" ca="1" si="79"/>
        <v/>
      </c>
      <c r="BQ20" s="11" t="str">
        <f t="shared" ca="1" si="79"/>
        <v/>
      </c>
      <c r="BR20" s="11" t="str">
        <f t="shared" ca="1" si="79"/>
        <v/>
      </c>
      <c r="BS20" s="11" t="str">
        <f t="shared" ca="1" si="79"/>
        <v/>
      </c>
      <c r="BT20" s="11" t="str">
        <f t="shared" ca="1" si="79"/>
        <v/>
      </c>
      <c r="BU20" s="11" t="str">
        <f t="shared" ca="1" si="79"/>
        <v/>
      </c>
      <c r="BV20" s="11" t="str">
        <f t="shared" ca="1" si="79"/>
        <v/>
      </c>
      <c r="BW20" s="11" t="str">
        <f t="shared" ca="1" si="79"/>
        <v/>
      </c>
      <c r="BX20" s="11" t="str">
        <f t="shared" ca="1" si="79"/>
        <v/>
      </c>
      <c r="BY20" s="11" t="str">
        <f t="shared" ca="1" si="79"/>
        <v/>
      </c>
      <c r="BZ20" s="11" t="str">
        <f t="shared" ca="1" si="79"/>
        <v/>
      </c>
    </row>
    <row r="21" spans="1:78">
      <c r="A21">
        <v>-17</v>
      </c>
      <c r="B21" s="1">
        <f t="shared" si="11"/>
        <v>-17</v>
      </c>
      <c r="C21" s="4" t="e">
        <f>MATCH(B21,テーブル1[日付],0)+1</f>
        <v>#N/A</v>
      </c>
      <c r="D21" t="e">
        <f>ADDRESS(C21,2,4,1)&amp;":"&amp;ADDRESS(C21+COUNTIF(テーブル1[日付],日毎の人員構成・人員別日毎の従事ライン!B21)-1,2,4,1)</f>
        <v>#N/A</v>
      </c>
      <c r="E21" t="e">
        <f>ADDRESS(C21,3,4,1)&amp;":"&amp;ADDRESS($C21+COUNTIF(テーブル1[日付],日毎の人員構成・人員別日毎の従事ライン!B21)-1,3,4,1)</f>
        <v>#N/A</v>
      </c>
      <c r="F21" s="4" t="e">
        <f t="shared" ca="1" si="12"/>
        <v>#N/A</v>
      </c>
      <c r="G21" s="4" t="e">
        <f t="shared" ca="1" si="12"/>
        <v>#N/A</v>
      </c>
      <c r="H21" s="4" t="e">
        <f t="shared" ca="1" si="12"/>
        <v>#N/A</v>
      </c>
      <c r="I21" s="4" t="e">
        <f t="shared" ca="1" si="12"/>
        <v>#N/A</v>
      </c>
      <c r="J21" s="4" t="e">
        <f t="shared" ca="1" si="12"/>
        <v>#N/A</v>
      </c>
      <c r="K21" s="4" t="e">
        <f t="shared" ca="1" si="12"/>
        <v>#N/A</v>
      </c>
      <c r="L21" s="4" t="e">
        <f t="shared" ca="1" si="12"/>
        <v>#N/A</v>
      </c>
      <c r="M21" s="4" t="e">
        <f t="shared" ca="1" si="12"/>
        <v>#N/A</v>
      </c>
      <c r="N21" s="4" t="e">
        <f t="shared" ref="M21:P32" ca="1" si="81">MATCH(N$3,INDIRECT($A$2&amp;$D21,TRUE),0)+$C21-1</f>
        <v>#N/A</v>
      </c>
      <c r="O21" s="4" t="e">
        <f t="shared" ca="1" si="81"/>
        <v>#N/A</v>
      </c>
      <c r="P21" s="4" t="e">
        <f t="shared" ca="1" si="81"/>
        <v>#N/A</v>
      </c>
      <c r="Q21" s="4" t="e">
        <f t="shared" ca="1" si="12"/>
        <v>#N/A</v>
      </c>
      <c r="R21" s="4" t="e">
        <f t="shared" ca="1" si="80"/>
        <v>#N/A</v>
      </c>
      <c r="S21" s="4" t="e">
        <f t="shared" ca="1" si="80"/>
        <v>#N/A</v>
      </c>
      <c r="T21" t="e">
        <f t="shared" ca="1" si="48"/>
        <v>#N/A</v>
      </c>
      <c r="U21" t="e">
        <f t="shared" ca="1" si="13"/>
        <v>#N/A</v>
      </c>
      <c r="V21" t="e">
        <f t="shared" ca="1" si="14"/>
        <v>#N/A</v>
      </c>
      <c r="W21" t="e">
        <f t="shared" ca="1" si="15"/>
        <v>#N/A</v>
      </c>
      <c r="X21" t="e">
        <f t="shared" ca="1" si="16"/>
        <v>#N/A</v>
      </c>
      <c r="Y21" t="e">
        <f t="shared" ca="1" si="17"/>
        <v>#N/A</v>
      </c>
      <c r="Z21" t="e">
        <f t="shared" ca="1" si="18"/>
        <v>#N/A</v>
      </c>
      <c r="AA21" t="e">
        <f t="shared" ca="1" si="49"/>
        <v>#N/A</v>
      </c>
      <c r="AB21" t="e">
        <f t="shared" ca="1" si="19"/>
        <v>#N/A</v>
      </c>
      <c r="AC21" t="e">
        <f t="shared" ca="1" si="20"/>
        <v>#N/A</v>
      </c>
      <c r="AD21" t="e">
        <f t="shared" ca="1" si="21"/>
        <v>#N/A</v>
      </c>
      <c r="AE21" t="e">
        <f t="shared" ca="1" si="22"/>
        <v>#N/A</v>
      </c>
      <c r="AF21" t="e">
        <f t="shared" ca="1" si="23"/>
        <v>#N/A</v>
      </c>
      <c r="AG21" t="e">
        <f t="shared" ca="1" si="24"/>
        <v>#N/A</v>
      </c>
      <c r="AH21" s="6">
        <v>1</v>
      </c>
      <c r="AI21" s="6" t="e">
        <f>INDEX($T$4:$AE$32,MATCH($AJ$20,$B$4:$B$34,0),MATCH($AJ21,$T$3:$AE$3,0))</f>
        <v>#N/A</v>
      </c>
      <c r="AJ21" s="6" t="s">
        <v>19</v>
      </c>
      <c r="AK21" s="6" t="str" cm="1">
        <f t="array" aca="1" ref="AK21" ca="1">IFERROR(INDEX(INDEX(INDIRECT($A$2&amp;$AI21,TRUE),0),AK$2),"")</f>
        <v/>
      </c>
      <c r="AL21" s="6" t="str" cm="1">
        <f t="array" aca="1" ref="AL21" ca="1">IFERROR(INDEX(INDEX(INDIRECT($A$2&amp;$AI21,TRUE),0),AL$2),"")</f>
        <v/>
      </c>
      <c r="AM21" s="6" t="str" cm="1">
        <f t="array" aca="1" ref="AM21" ca="1">IFERROR(INDEX(INDEX(INDIRECT($A$2&amp;$AI21,TRUE),0),AM$2),"")</f>
        <v/>
      </c>
      <c r="AN21" s="6" t="str" cm="1">
        <f t="array" aca="1" ref="AN21" ca="1">IFERROR(INDEX(INDEX(INDIRECT($A$2&amp;$AI21,TRUE),0),AN$2),"")</f>
        <v/>
      </c>
      <c r="AO21" s="6" t="str" cm="1">
        <f t="array" aca="1" ref="AO21" ca="1">IFERROR(INDEX(INDEX(INDIRECT($A$2&amp;$AI21,TRUE),0),AO$2),"")</f>
        <v/>
      </c>
      <c r="AP21" s="6" t="str" cm="1">
        <f t="array" aca="1" ref="AP21" ca="1">IFERROR(INDEX(INDEX(INDIRECT($A$2&amp;$AI21,TRUE),0),AP$2),"")</f>
        <v/>
      </c>
      <c r="AQ21" s="6" t="str" cm="1">
        <f t="array" aca="1" ref="AQ21" ca="1">IFERROR(INDEX(INDEX(INDIRECT($A$2&amp;$AI21,TRUE),0),AQ$2),"")</f>
        <v/>
      </c>
      <c r="AR21" s="6" t="str" cm="1">
        <f t="array" aca="1" ref="AR21" ca="1">IFERROR(INDEX(INDEX(INDIRECT($A$2&amp;$AI21,TRUE),0),AR$2),"")</f>
        <v/>
      </c>
      <c r="AS21" s="6" t="str" cm="1">
        <f t="array" aca="1" ref="AS21" ca="1">IFERROR(INDEX(INDEX(INDIRECT($A$2&amp;$AI21,TRUE),0),AS$2),"")</f>
        <v/>
      </c>
      <c r="AT21" s="6" t="str" cm="1">
        <f t="array" aca="1" ref="AT21" ca="1">IFERROR(INDEX(INDEX(INDIRECT($A$2&amp;$AI21,TRUE),0),AT$2),"")</f>
        <v/>
      </c>
      <c r="AX21" s="11" t="str">
        <f t="shared" ca="1" si="75"/>
        <v/>
      </c>
      <c r="AY21" s="11" t="str">
        <f t="shared" ca="1" si="73"/>
        <v/>
      </c>
      <c r="AZ21" s="11" t="str">
        <f t="shared" ca="1" si="73"/>
        <v/>
      </c>
      <c r="BA21" s="11" t="str">
        <f t="shared" ca="1" si="73"/>
        <v/>
      </c>
      <c r="BB21" s="11" t="str">
        <f t="shared" ca="1" si="73"/>
        <v/>
      </c>
      <c r="BC21" s="11" t="str">
        <f t="shared" ca="1" si="73"/>
        <v/>
      </c>
      <c r="BD21" s="11" t="str">
        <f t="shared" ca="1" si="73"/>
        <v/>
      </c>
      <c r="BE21" s="11" t="str">
        <f t="shared" ca="1" si="79"/>
        <v/>
      </c>
      <c r="BF21" s="11" t="str">
        <f t="shared" ca="1" si="79"/>
        <v/>
      </c>
      <c r="BG21" s="11" t="str">
        <f t="shared" ca="1" si="79"/>
        <v/>
      </c>
      <c r="BH21" s="11" t="str">
        <f t="shared" ca="1" si="79"/>
        <v/>
      </c>
      <c r="BI21" s="11" t="str">
        <f t="shared" ca="1" si="79"/>
        <v/>
      </c>
      <c r="BJ21" s="11" t="str">
        <f t="shared" ref="BE21:BZ25" ca="1" si="82">IFERROR(INDEX(INDIRECT(BJ$1,TRUE),MATCH($AW21,INDIRECT(BJ$2,TRUE),0)),"")</f>
        <v/>
      </c>
      <c r="BK21" s="11" t="str">
        <f t="shared" ca="1" si="82"/>
        <v/>
      </c>
      <c r="BL21" s="11" t="str">
        <f t="shared" ca="1" si="82"/>
        <v/>
      </c>
      <c r="BM21" s="11" t="str">
        <f t="shared" ca="1" si="82"/>
        <v/>
      </c>
      <c r="BN21" s="11" t="str">
        <f t="shared" ca="1" si="82"/>
        <v/>
      </c>
      <c r="BO21" s="11" t="str">
        <f t="shared" ca="1" si="82"/>
        <v/>
      </c>
      <c r="BP21" s="11" t="str">
        <f t="shared" ca="1" si="82"/>
        <v/>
      </c>
      <c r="BQ21" s="11" t="str">
        <f t="shared" ca="1" si="82"/>
        <v/>
      </c>
      <c r="BR21" s="11" t="str">
        <f t="shared" ca="1" si="82"/>
        <v/>
      </c>
      <c r="BS21" s="11" t="str">
        <f t="shared" ca="1" si="82"/>
        <v/>
      </c>
      <c r="BT21" s="11" t="str">
        <f t="shared" ca="1" si="82"/>
        <v/>
      </c>
      <c r="BU21" s="11" t="str">
        <f t="shared" ca="1" si="82"/>
        <v/>
      </c>
      <c r="BV21" s="11" t="str">
        <f t="shared" ca="1" si="82"/>
        <v/>
      </c>
      <c r="BW21" s="11" t="str">
        <f t="shared" ca="1" si="82"/>
        <v/>
      </c>
      <c r="BX21" s="11" t="str">
        <f t="shared" ca="1" si="82"/>
        <v/>
      </c>
      <c r="BY21" s="11" t="str">
        <f t="shared" ca="1" si="82"/>
        <v/>
      </c>
      <c r="BZ21" s="11" t="str">
        <f t="shared" ca="1" si="82"/>
        <v/>
      </c>
    </row>
    <row r="22" spans="1:78">
      <c r="A22">
        <v>-18</v>
      </c>
      <c r="B22" s="1">
        <f t="shared" si="11"/>
        <v>-18</v>
      </c>
      <c r="C22" s="4" t="e">
        <f>MATCH(B22,テーブル1[日付],0)+1</f>
        <v>#N/A</v>
      </c>
      <c r="D22" t="e">
        <f>ADDRESS(C22,2,4,1)&amp;":"&amp;ADDRESS(C22+COUNTIF(テーブル1[日付],日毎の人員構成・人員別日毎の従事ライン!B22)-1,2,4,1)</f>
        <v>#N/A</v>
      </c>
      <c r="E22" t="e">
        <f>ADDRESS(C22,3,4,1)&amp;":"&amp;ADDRESS($C22+COUNTIF(テーブル1[日付],日毎の人員構成・人員別日毎の従事ライン!B22)-1,3,4,1)</f>
        <v>#N/A</v>
      </c>
      <c r="F22" s="4" t="e">
        <f t="shared" ca="1" si="12"/>
        <v>#N/A</v>
      </c>
      <c r="G22" s="4" t="e">
        <f t="shared" ca="1" si="12"/>
        <v>#N/A</v>
      </c>
      <c r="H22" s="4" t="e">
        <f t="shared" ca="1" si="12"/>
        <v>#N/A</v>
      </c>
      <c r="I22" s="4" t="e">
        <f t="shared" ca="1" si="12"/>
        <v>#N/A</v>
      </c>
      <c r="J22" s="4" t="e">
        <f t="shared" ca="1" si="12"/>
        <v>#N/A</v>
      </c>
      <c r="K22" s="4" t="e">
        <f t="shared" ca="1" si="12"/>
        <v>#N/A</v>
      </c>
      <c r="L22" s="4" t="e">
        <f t="shared" ca="1" si="12"/>
        <v>#N/A</v>
      </c>
      <c r="M22" s="4" t="e">
        <f t="shared" ca="1" si="81"/>
        <v>#N/A</v>
      </c>
      <c r="N22" s="4" t="e">
        <f t="shared" ca="1" si="81"/>
        <v>#N/A</v>
      </c>
      <c r="O22" s="4" t="e">
        <f t="shared" ca="1" si="81"/>
        <v>#N/A</v>
      </c>
      <c r="P22" s="4" t="e">
        <f t="shared" ca="1" si="81"/>
        <v>#N/A</v>
      </c>
      <c r="Q22" s="4" t="e">
        <f t="shared" ca="1" si="12"/>
        <v>#N/A</v>
      </c>
      <c r="R22" s="4" t="e">
        <f t="shared" ca="1" si="80"/>
        <v>#N/A</v>
      </c>
      <c r="S22" s="4" t="e">
        <f t="shared" ca="1" si="80"/>
        <v>#N/A</v>
      </c>
      <c r="T22" t="e">
        <f t="shared" ca="1" si="48"/>
        <v>#N/A</v>
      </c>
      <c r="U22" t="e">
        <f t="shared" ca="1" si="13"/>
        <v>#N/A</v>
      </c>
      <c r="V22" t="e">
        <f t="shared" ca="1" si="14"/>
        <v>#N/A</v>
      </c>
      <c r="W22" t="e">
        <f t="shared" ca="1" si="15"/>
        <v>#N/A</v>
      </c>
      <c r="X22" t="e">
        <f t="shared" ca="1" si="16"/>
        <v>#N/A</v>
      </c>
      <c r="Y22" t="e">
        <f t="shared" ca="1" si="17"/>
        <v>#N/A</v>
      </c>
      <c r="Z22" t="e">
        <f t="shared" ca="1" si="18"/>
        <v>#N/A</v>
      </c>
      <c r="AA22" t="e">
        <f t="shared" ca="1" si="49"/>
        <v>#N/A</v>
      </c>
      <c r="AB22" t="e">
        <f t="shared" ca="1" si="19"/>
        <v>#N/A</v>
      </c>
      <c r="AC22" t="e">
        <f t="shared" ca="1" si="20"/>
        <v>#N/A</v>
      </c>
      <c r="AD22" t="e">
        <f t="shared" ca="1" si="21"/>
        <v>#N/A</v>
      </c>
      <c r="AE22" t="e">
        <f t="shared" ca="1" si="22"/>
        <v>#N/A</v>
      </c>
      <c r="AF22" t="e">
        <f t="shared" ca="1" si="23"/>
        <v>#N/A</v>
      </c>
      <c r="AG22" t="e">
        <f t="shared" ca="1" si="24"/>
        <v>#N/A</v>
      </c>
      <c r="AH22" s="6">
        <v>2</v>
      </c>
      <c r="AI22" s="6" t="e">
        <f t="shared" ref="AI22:AI26" si="83">INDEX($T$4:$AE$32,MATCH($AJ$20,$B$4:$B$34,0),MATCH($AJ22,$T$3:$AE$3,0))</f>
        <v>#N/A</v>
      </c>
      <c r="AJ22" s="6" t="s">
        <v>24</v>
      </c>
      <c r="AK22" s="6" t="str" cm="1">
        <f t="array" aca="1" ref="AK22" ca="1">IFERROR(INDEX(INDEX(INDIRECT($A$2&amp;$AI22,TRUE),0),AK$2),"")</f>
        <v/>
      </c>
      <c r="AL22" s="6" t="str" cm="1">
        <f t="array" aca="1" ref="AL22" ca="1">IFERROR(INDEX(INDEX(INDIRECT($A$2&amp;$AI22,TRUE),0),AL$2),"")</f>
        <v/>
      </c>
      <c r="AM22" s="6" t="str" cm="1">
        <f t="array" aca="1" ref="AM22" ca="1">IFERROR(INDEX(INDEX(INDIRECT($A$2&amp;$AI22,TRUE),0),AM$2),"")</f>
        <v/>
      </c>
      <c r="AN22" s="6" t="str" cm="1">
        <f t="array" aca="1" ref="AN22" ca="1">IFERROR(INDEX(INDEX(INDIRECT($A$2&amp;$AI22,TRUE),0),AN$2),"")</f>
        <v/>
      </c>
      <c r="AO22" s="6" t="str" cm="1">
        <f t="array" aca="1" ref="AO22" ca="1">IFERROR(INDEX(INDEX(INDIRECT($A$2&amp;$AI22,TRUE),0),AO$2),"")</f>
        <v/>
      </c>
      <c r="AP22" s="6" t="str" cm="1">
        <f t="array" aca="1" ref="AP22" ca="1">IFERROR(INDEX(INDEX(INDIRECT($A$2&amp;$AI22,TRUE),0),AP$2),"")</f>
        <v/>
      </c>
      <c r="AQ22" s="6" t="str" cm="1">
        <f t="array" aca="1" ref="AQ22" ca="1">IFERROR(INDEX(INDEX(INDIRECT($A$2&amp;$AI22,TRUE),0),AQ$2),"")</f>
        <v/>
      </c>
      <c r="AR22" s="6" t="str" cm="1">
        <f t="array" aca="1" ref="AR22" ca="1">IFERROR(INDEX(INDEX(INDIRECT($A$2&amp;$AI22,TRUE),0),AR$2),"")</f>
        <v/>
      </c>
      <c r="AS22" s="6" t="str" cm="1">
        <f t="array" aca="1" ref="AS22" ca="1">IFERROR(INDEX(INDEX(INDIRECT($A$2&amp;$AI22,TRUE),0),AS$2),"")</f>
        <v/>
      </c>
      <c r="AT22" s="6" t="str" cm="1">
        <f t="array" aca="1" ref="AT22" ca="1">IFERROR(INDEX(INDEX(INDIRECT($A$2&amp;$AI22,TRUE),0),AT$2),"")</f>
        <v/>
      </c>
      <c r="AX22" s="11" t="str">
        <f t="shared" ca="1" si="75"/>
        <v/>
      </c>
      <c r="AY22" s="11" t="str">
        <f t="shared" ca="1" si="73"/>
        <v/>
      </c>
      <c r="AZ22" s="11" t="str">
        <f t="shared" ca="1" si="73"/>
        <v/>
      </c>
      <c r="BA22" s="11" t="str">
        <f t="shared" ca="1" si="73"/>
        <v/>
      </c>
      <c r="BB22" s="11" t="str">
        <f t="shared" ca="1" si="73"/>
        <v/>
      </c>
      <c r="BC22" s="11" t="str">
        <f t="shared" ca="1" si="73"/>
        <v/>
      </c>
      <c r="BD22" s="11" t="str">
        <f t="shared" ca="1" si="73"/>
        <v/>
      </c>
      <c r="BE22" s="11" t="str">
        <f t="shared" ca="1" si="82"/>
        <v/>
      </c>
      <c r="BF22" s="11" t="str">
        <f t="shared" ca="1" si="82"/>
        <v/>
      </c>
      <c r="BG22" s="11" t="str">
        <f t="shared" ca="1" si="82"/>
        <v/>
      </c>
      <c r="BH22" s="11" t="str">
        <f t="shared" ca="1" si="82"/>
        <v/>
      </c>
      <c r="BI22" s="11" t="str">
        <f t="shared" ca="1" si="82"/>
        <v/>
      </c>
      <c r="BJ22" s="11" t="str">
        <f t="shared" ca="1" si="82"/>
        <v/>
      </c>
      <c r="BK22" s="11" t="str">
        <f t="shared" ca="1" si="82"/>
        <v/>
      </c>
      <c r="BL22" s="11" t="str">
        <f t="shared" ca="1" si="82"/>
        <v/>
      </c>
      <c r="BM22" s="11" t="str">
        <f t="shared" ca="1" si="82"/>
        <v/>
      </c>
      <c r="BN22" s="11" t="str">
        <f t="shared" ca="1" si="82"/>
        <v/>
      </c>
      <c r="BO22" s="11" t="str">
        <f t="shared" ca="1" si="82"/>
        <v/>
      </c>
      <c r="BP22" s="11" t="str">
        <f t="shared" ca="1" si="82"/>
        <v/>
      </c>
      <c r="BQ22" s="11" t="str">
        <f t="shared" ca="1" si="82"/>
        <v/>
      </c>
      <c r="BR22" s="11" t="str">
        <f t="shared" ca="1" si="82"/>
        <v/>
      </c>
      <c r="BS22" s="11" t="str">
        <f t="shared" ca="1" si="82"/>
        <v/>
      </c>
      <c r="BT22" s="11" t="str">
        <f t="shared" ca="1" si="82"/>
        <v/>
      </c>
      <c r="BU22" s="11" t="str">
        <f t="shared" ca="1" si="82"/>
        <v/>
      </c>
      <c r="BV22" s="11" t="str">
        <f t="shared" ca="1" si="82"/>
        <v/>
      </c>
      <c r="BW22" s="11" t="str">
        <f t="shared" ca="1" si="82"/>
        <v/>
      </c>
      <c r="BX22" s="11" t="str">
        <f t="shared" ca="1" si="82"/>
        <v/>
      </c>
      <c r="BY22" s="11" t="str">
        <f t="shared" ca="1" si="82"/>
        <v/>
      </c>
      <c r="BZ22" s="11" t="str">
        <f t="shared" ca="1" si="82"/>
        <v/>
      </c>
    </row>
    <row r="23" spans="1:78">
      <c r="A23">
        <v>-19</v>
      </c>
      <c r="B23" s="1">
        <f t="shared" si="11"/>
        <v>-19</v>
      </c>
      <c r="C23" s="4" t="e">
        <f>MATCH(B23,テーブル1[日付],0)+1</f>
        <v>#N/A</v>
      </c>
      <c r="D23" t="e">
        <f>ADDRESS(C23,2,4,1)&amp;":"&amp;ADDRESS(C23+COUNTIF(テーブル1[日付],日毎の人員構成・人員別日毎の従事ライン!B23)-1,2,4,1)</f>
        <v>#N/A</v>
      </c>
      <c r="E23" t="e">
        <f>ADDRESS(C23,3,4,1)&amp;":"&amp;ADDRESS($C23+COUNTIF(テーブル1[日付],日毎の人員構成・人員別日毎の従事ライン!B23)-1,3,4,1)</f>
        <v>#N/A</v>
      </c>
      <c r="F23" s="4" t="e">
        <f t="shared" ca="1" si="12"/>
        <v>#N/A</v>
      </c>
      <c r="G23" s="4" t="e">
        <f t="shared" ca="1" si="12"/>
        <v>#N/A</v>
      </c>
      <c r="H23" s="4" t="e">
        <f t="shared" ca="1" si="12"/>
        <v>#N/A</v>
      </c>
      <c r="I23" s="4" t="e">
        <f t="shared" ca="1" si="12"/>
        <v>#N/A</v>
      </c>
      <c r="J23" s="4" t="e">
        <f t="shared" ca="1" si="12"/>
        <v>#N/A</v>
      </c>
      <c r="K23" s="4" t="e">
        <f t="shared" ca="1" si="12"/>
        <v>#N/A</v>
      </c>
      <c r="L23" s="4" t="e">
        <f t="shared" ca="1" si="12"/>
        <v>#N/A</v>
      </c>
      <c r="M23" s="4" t="e">
        <f t="shared" ca="1" si="81"/>
        <v>#N/A</v>
      </c>
      <c r="N23" s="4" t="e">
        <f t="shared" ca="1" si="81"/>
        <v>#N/A</v>
      </c>
      <c r="O23" s="4" t="e">
        <f t="shared" ca="1" si="81"/>
        <v>#N/A</v>
      </c>
      <c r="P23" s="4" t="e">
        <f t="shared" ca="1" si="81"/>
        <v>#N/A</v>
      </c>
      <c r="Q23" s="4" t="e">
        <f t="shared" ca="1" si="12"/>
        <v>#N/A</v>
      </c>
      <c r="R23" s="4" t="e">
        <f t="shared" ca="1" si="80"/>
        <v>#N/A</v>
      </c>
      <c r="S23" s="4" t="e">
        <f t="shared" ca="1" si="80"/>
        <v>#N/A</v>
      </c>
      <c r="T23" t="e">
        <f t="shared" ca="1" si="48"/>
        <v>#N/A</v>
      </c>
      <c r="U23" t="e">
        <f t="shared" ca="1" si="13"/>
        <v>#N/A</v>
      </c>
      <c r="V23" t="e">
        <f t="shared" ca="1" si="14"/>
        <v>#N/A</v>
      </c>
      <c r="W23" t="e">
        <f t="shared" ca="1" si="15"/>
        <v>#N/A</v>
      </c>
      <c r="X23" t="e">
        <f t="shared" ca="1" si="16"/>
        <v>#N/A</v>
      </c>
      <c r="Y23" t="e">
        <f t="shared" ca="1" si="17"/>
        <v>#N/A</v>
      </c>
      <c r="Z23" t="e">
        <f t="shared" ca="1" si="18"/>
        <v>#N/A</v>
      </c>
      <c r="AA23" t="e">
        <f t="shared" ca="1" si="49"/>
        <v>#N/A</v>
      </c>
      <c r="AB23" t="e">
        <f t="shared" ca="1" si="19"/>
        <v>#N/A</v>
      </c>
      <c r="AC23" t="e">
        <f t="shared" ca="1" si="20"/>
        <v>#N/A</v>
      </c>
      <c r="AD23" t="e">
        <f t="shared" ca="1" si="21"/>
        <v>#N/A</v>
      </c>
      <c r="AE23" t="e">
        <f t="shared" ca="1" si="22"/>
        <v>#N/A</v>
      </c>
      <c r="AF23" t="e">
        <f t="shared" ca="1" si="23"/>
        <v>#N/A</v>
      </c>
      <c r="AG23" t="e">
        <f t="shared" ca="1" si="24"/>
        <v>#N/A</v>
      </c>
      <c r="AH23" s="6">
        <v>3</v>
      </c>
      <c r="AI23" s="6" t="e">
        <f t="shared" si="83"/>
        <v>#N/A</v>
      </c>
      <c r="AJ23" s="6" t="s">
        <v>11</v>
      </c>
      <c r="AK23" s="6" t="str" cm="1">
        <f t="array" aca="1" ref="AK23" ca="1">IFERROR(INDEX(INDEX(INDIRECT($A$2&amp;$AI23,TRUE),0),AK$2),"")</f>
        <v/>
      </c>
      <c r="AL23" s="6" t="str" cm="1">
        <f t="array" aca="1" ref="AL23" ca="1">IFERROR(INDEX(INDEX(INDIRECT($A$2&amp;$AI23,TRUE),0),AL$2),"")</f>
        <v/>
      </c>
      <c r="AM23" s="6" t="str" cm="1">
        <f t="array" aca="1" ref="AM23" ca="1">IFERROR(INDEX(INDEX(INDIRECT($A$2&amp;$AI23,TRUE),0),AM$2),"")</f>
        <v/>
      </c>
      <c r="AN23" s="6" t="str" cm="1">
        <f t="array" aca="1" ref="AN23" ca="1">IFERROR(INDEX(INDEX(INDIRECT($A$2&amp;$AI23,TRUE),0),AN$2),"")</f>
        <v/>
      </c>
      <c r="AO23" s="6" t="str" cm="1">
        <f t="array" aca="1" ref="AO23" ca="1">IFERROR(INDEX(INDEX(INDIRECT($A$2&amp;$AI23,TRUE),0),AO$2),"")</f>
        <v/>
      </c>
      <c r="AP23" s="6" t="str" cm="1">
        <f t="array" aca="1" ref="AP23" ca="1">IFERROR(INDEX(INDEX(INDIRECT($A$2&amp;$AI23,TRUE),0),AP$2),"")</f>
        <v/>
      </c>
      <c r="AQ23" s="6" t="str" cm="1">
        <f t="array" aca="1" ref="AQ23" ca="1">IFERROR(INDEX(INDEX(INDIRECT($A$2&amp;$AI23,TRUE),0),AQ$2),"")</f>
        <v/>
      </c>
      <c r="AR23" s="6" t="str" cm="1">
        <f t="array" aca="1" ref="AR23" ca="1">IFERROR(INDEX(INDEX(INDIRECT($A$2&amp;$AI23,TRUE),0),AR$2),"")</f>
        <v/>
      </c>
      <c r="AS23" s="6" t="str" cm="1">
        <f t="array" aca="1" ref="AS23" ca="1">IFERROR(INDEX(INDEX(INDIRECT($A$2&amp;$AI23,TRUE),0),AS$2),"")</f>
        <v/>
      </c>
      <c r="AT23" s="6" t="str" cm="1">
        <f t="array" aca="1" ref="AT23" ca="1">IFERROR(INDEX(INDEX(INDIRECT($A$2&amp;$AI23,TRUE),0),AT$2),"")</f>
        <v/>
      </c>
      <c r="AX23" s="11" t="str">
        <f t="shared" ca="1" si="75"/>
        <v/>
      </c>
      <c r="AY23" s="11" t="str">
        <f t="shared" ca="1" si="75"/>
        <v/>
      </c>
      <c r="AZ23" s="11" t="str">
        <f t="shared" ca="1" si="75"/>
        <v/>
      </c>
      <c r="BA23" s="11" t="str">
        <f t="shared" ca="1" si="75"/>
        <v/>
      </c>
      <c r="BB23" s="11" t="str">
        <f t="shared" ca="1" si="75"/>
        <v/>
      </c>
      <c r="BC23" s="11" t="str">
        <f t="shared" ca="1" si="75"/>
        <v/>
      </c>
      <c r="BD23" s="11" t="str">
        <f t="shared" ca="1" si="75"/>
        <v/>
      </c>
      <c r="BE23" s="11" t="str">
        <f t="shared" ca="1" si="75"/>
        <v/>
      </c>
      <c r="BF23" s="11" t="str">
        <f t="shared" ca="1" si="75"/>
        <v/>
      </c>
      <c r="BG23" s="11" t="str">
        <f t="shared" ca="1" si="75"/>
        <v/>
      </c>
      <c r="BH23" s="11" t="str">
        <f t="shared" ca="1" si="75"/>
        <v/>
      </c>
      <c r="BI23" s="11" t="str">
        <f t="shared" ca="1" si="75"/>
        <v/>
      </c>
      <c r="BJ23" s="11" t="str">
        <f t="shared" ca="1" si="75"/>
        <v/>
      </c>
      <c r="BK23" s="11" t="str">
        <f t="shared" ca="1" si="75"/>
        <v/>
      </c>
      <c r="BL23" s="11" t="str">
        <f t="shared" ca="1" si="75"/>
        <v/>
      </c>
      <c r="BM23" s="11" t="str">
        <f t="shared" ca="1" si="75"/>
        <v/>
      </c>
      <c r="BN23" s="11" t="str">
        <f t="shared" ca="1" si="82"/>
        <v/>
      </c>
      <c r="BO23" s="11" t="str">
        <f t="shared" ca="1" si="82"/>
        <v/>
      </c>
      <c r="BP23" s="11" t="str">
        <f t="shared" ca="1" si="82"/>
        <v/>
      </c>
      <c r="BQ23" s="11" t="str">
        <f t="shared" ca="1" si="82"/>
        <v/>
      </c>
      <c r="BR23" s="11" t="str">
        <f t="shared" ca="1" si="82"/>
        <v/>
      </c>
      <c r="BS23" s="11" t="str">
        <f t="shared" ca="1" si="82"/>
        <v/>
      </c>
      <c r="BT23" s="11" t="str">
        <f t="shared" ca="1" si="82"/>
        <v/>
      </c>
      <c r="BU23" s="11" t="str">
        <f t="shared" ca="1" si="82"/>
        <v/>
      </c>
      <c r="BV23" s="11" t="str">
        <f t="shared" ca="1" si="82"/>
        <v/>
      </c>
      <c r="BW23" s="11" t="str">
        <f t="shared" ca="1" si="82"/>
        <v/>
      </c>
      <c r="BX23" s="11" t="str">
        <f t="shared" ca="1" si="82"/>
        <v/>
      </c>
      <c r="BY23" s="11" t="str">
        <f t="shared" ca="1" si="82"/>
        <v/>
      </c>
      <c r="BZ23" s="11" t="str">
        <f t="shared" ca="1" si="82"/>
        <v/>
      </c>
    </row>
    <row r="24" spans="1:78">
      <c r="A24">
        <v>-20</v>
      </c>
      <c r="B24" s="1">
        <f t="shared" si="11"/>
        <v>-20</v>
      </c>
      <c r="C24" s="4" t="e">
        <f>MATCH(B24,テーブル1[日付],0)+1</f>
        <v>#N/A</v>
      </c>
      <c r="D24" t="e">
        <f>ADDRESS(C24,2,4,1)&amp;":"&amp;ADDRESS(C24+COUNTIF(テーブル1[日付],日毎の人員構成・人員別日毎の従事ライン!B24)-1,2,4,1)</f>
        <v>#N/A</v>
      </c>
      <c r="E24" t="e">
        <f>ADDRESS(C24,3,4,1)&amp;":"&amp;ADDRESS($C24+COUNTIF(テーブル1[日付],日毎の人員構成・人員別日毎の従事ライン!B24)-1,3,4,1)</f>
        <v>#N/A</v>
      </c>
      <c r="F24" s="4" t="e">
        <f t="shared" ca="1" si="12"/>
        <v>#N/A</v>
      </c>
      <c r="G24" s="4" t="e">
        <f t="shared" ca="1" si="12"/>
        <v>#N/A</v>
      </c>
      <c r="H24" s="4" t="e">
        <f t="shared" ca="1" si="12"/>
        <v>#N/A</v>
      </c>
      <c r="I24" s="4" t="e">
        <f t="shared" ca="1" si="12"/>
        <v>#N/A</v>
      </c>
      <c r="J24" s="4" t="e">
        <f t="shared" ca="1" si="12"/>
        <v>#N/A</v>
      </c>
      <c r="K24" s="4" t="e">
        <f t="shared" ca="1" si="12"/>
        <v>#N/A</v>
      </c>
      <c r="L24" s="4" t="e">
        <f t="shared" ca="1" si="12"/>
        <v>#N/A</v>
      </c>
      <c r="M24" s="4" t="e">
        <f t="shared" ca="1" si="81"/>
        <v>#N/A</v>
      </c>
      <c r="N24" s="4" t="e">
        <f t="shared" ca="1" si="81"/>
        <v>#N/A</v>
      </c>
      <c r="O24" s="4" t="e">
        <f t="shared" ca="1" si="81"/>
        <v>#N/A</v>
      </c>
      <c r="P24" s="4" t="e">
        <f t="shared" ca="1" si="81"/>
        <v>#N/A</v>
      </c>
      <c r="Q24" s="4" t="e">
        <f t="shared" ca="1" si="12"/>
        <v>#N/A</v>
      </c>
      <c r="R24" s="4" t="e">
        <f t="shared" ca="1" si="80"/>
        <v>#N/A</v>
      </c>
      <c r="S24" s="4" t="e">
        <f t="shared" ca="1" si="80"/>
        <v>#N/A</v>
      </c>
      <c r="T24" t="e">
        <f t="shared" ca="1" si="48"/>
        <v>#N/A</v>
      </c>
      <c r="U24" t="e">
        <f t="shared" ca="1" si="13"/>
        <v>#N/A</v>
      </c>
      <c r="V24" t="e">
        <f t="shared" ca="1" si="14"/>
        <v>#N/A</v>
      </c>
      <c r="W24" t="e">
        <f t="shared" ca="1" si="15"/>
        <v>#N/A</v>
      </c>
      <c r="X24" t="e">
        <f t="shared" ca="1" si="16"/>
        <v>#N/A</v>
      </c>
      <c r="Y24" t="e">
        <f t="shared" ca="1" si="17"/>
        <v>#N/A</v>
      </c>
      <c r="Z24" t="e">
        <f t="shared" ca="1" si="18"/>
        <v>#N/A</v>
      </c>
      <c r="AA24" t="e">
        <f t="shared" ca="1" si="49"/>
        <v>#N/A</v>
      </c>
      <c r="AB24" t="e">
        <f t="shared" ca="1" si="19"/>
        <v>#N/A</v>
      </c>
      <c r="AC24" t="e">
        <f t="shared" ca="1" si="20"/>
        <v>#N/A</v>
      </c>
      <c r="AD24" t="e">
        <f t="shared" ca="1" si="21"/>
        <v>#N/A</v>
      </c>
      <c r="AE24" t="e">
        <f t="shared" ca="1" si="22"/>
        <v>#N/A</v>
      </c>
      <c r="AF24" t="e">
        <f t="shared" ca="1" si="23"/>
        <v>#N/A</v>
      </c>
      <c r="AG24" t="e">
        <f t="shared" ca="1" si="24"/>
        <v>#N/A</v>
      </c>
      <c r="AH24" s="6">
        <v>4</v>
      </c>
      <c r="AI24" s="6" t="e">
        <f t="shared" si="83"/>
        <v>#N/A</v>
      </c>
      <c r="AJ24" s="6" t="s">
        <v>32</v>
      </c>
      <c r="AK24" s="6" t="str" cm="1">
        <f t="array" aca="1" ref="AK24" ca="1">IFERROR(INDEX(INDEX(INDIRECT($A$2&amp;$AI24,TRUE),0),AK$2),"")</f>
        <v/>
      </c>
      <c r="AL24" s="6" t="str" cm="1">
        <f t="array" aca="1" ref="AL24" ca="1">IFERROR(INDEX(INDEX(INDIRECT($A$2&amp;$AI24,TRUE),0),AL$2),"")</f>
        <v/>
      </c>
      <c r="AM24" s="6" t="str" cm="1">
        <f t="array" aca="1" ref="AM24" ca="1">IFERROR(INDEX(INDEX(INDIRECT($A$2&amp;$AI24,TRUE),0),AM$2),"")</f>
        <v/>
      </c>
      <c r="AN24" s="6" t="str" cm="1">
        <f t="array" aca="1" ref="AN24" ca="1">IFERROR(INDEX(INDEX(INDIRECT($A$2&amp;$AI24,TRUE),0),AN$2),"")</f>
        <v/>
      </c>
      <c r="AO24" s="6" t="str" cm="1">
        <f t="array" aca="1" ref="AO24" ca="1">IFERROR(INDEX(INDEX(INDIRECT($A$2&amp;$AI24,TRUE),0),AO$2),"")</f>
        <v/>
      </c>
      <c r="AP24" s="6" t="str" cm="1">
        <f t="array" aca="1" ref="AP24" ca="1">IFERROR(INDEX(INDEX(INDIRECT($A$2&amp;$AI24,TRUE),0),AP$2),"")</f>
        <v/>
      </c>
      <c r="AQ24" s="6" t="str" cm="1">
        <f t="array" aca="1" ref="AQ24" ca="1">IFERROR(INDEX(INDEX(INDIRECT($A$2&amp;$AI24,TRUE),0),AQ$2),"")</f>
        <v/>
      </c>
      <c r="AR24" s="6" t="str" cm="1">
        <f t="array" aca="1" ref="AR24" ca="1">IFERROR(INDEX(INDEX(INDIRECT($A$2&amp;$AI24,TRUE),0),AR$2),"")</f>
        <v/>
      </c>
      <c r="AS24" s="6" t="str" cm="1">
        <f t="array" aca="1" ref="AS24" ca="1">IFERROR(INDEX(INDEX(INDIRECT($A$2&amp;$AI24,TRUE),0),AS$2),"")</f>
        <v/>
      </c>
      <c r="AT24" s="6" t="str" cm="1">
        <f t="array" aca="1" ref="AT24" ca="1">IFERROR(INDEX(INDEX(INDIRECT($A$2&amp;$AI24,TRUE),0),AT$2),"")</f>
        <v/>
      </c>
      <c r="AX24" s="11" t="str">
        <f t="shared" ca="1" si="75"/>
        <v/>
      </c>
      <c r="AY24" s="11" t="str">
        <f t="shared" ca="1" si="75"/>
        <v/>
      </c>
      <c r="AZ24" s="11" t="str">
        <f t="shared" ca="1" si="75"/>
        <v/>
      </c>
      <c r="BA24" s="11" t="str">
        <f t="shared" ca="1" si="75"/>
        <v/>
      </c>
      <c r="BB24" s="11" t="str">
        <f t="shared" ca="1" si="75"/>
        <v/>
      </c>
      <c r="BC24" s="11" t="str">
        <f t="shared" ca="1" si="75"/>
        <v/>
      </c>
      <c r="BD24" s="11" t="str">
        <f t="shared" ca="1" si="75"/>
        <v/>
      </c>
      <c r="BE24" s="11" t="str">
        <f t="shared" ca="1" si="82"/>
        <v/>
      </c>
      <c r="BF24" s="11" t="str">
        <f t="shared" ca="1" si="82"/>
        <v/>
      </c>
      <c r="BG24" s="11" t="str">
        <f t="shared" ca="1" si="82"/>
        <v/>
      </c>
      <c r="BH24" s="11" t="str">
        <f t="shared" ca="1" si="82"/>
        <v/>
      </c>
      <c r="BI24" s="11" t="str">
        <f t="shared" ca="1" si="82"/>
        <v/>
      </c>
      <c r="BJ24" s="11" t="str">
        <f t="shared" ca="1" si="82"/>
        <v/>
      </c>
      <c r="BK24" s="11" t="str">
        <f t="shared" ca="1" si="82"/>
        <v/>
      </c>
      <c r="BL24" s="11" t="str">
        <f t="shared" ca="1" si="82"/>
        <v/>
      </c>
      <c r="BM24" s="11" t="str">
        <f t="shared" ca="1" si="82"/>
        <v/>
      </c>
      <c r="BN24" s="11" t="str">
        <f t="shared" ca="1" si="82"/>
        <v/>
      </c>
      <c r="BO24" s="11" t="str">
        <f t="shared" ca="1" si="82"/>
        <v/>
      </c>
      <c r="BP24" s="11" t="str">
        <f t="shared" ca="1" si="82"/>
        <v/>
      </c>
      <c r="BQ24" s="11" t="str">
        <f t="shared" ca="1" si="82"/>
        <v/>
      </c>
      <c r="BR24" s="11" t="str">
        <f t="shared" ca="1" si="82"/>
        <v/>
      </c>
      <c r="BS24" s="11" t="str">
        <f t="shared" ca="1" si="82"/>
        <v/>
      </c>
      <c r="BT24" s="11" t="str">
        <f t="shared" ca="1" si="82"/>
        <v/>
      </c>
      <c r="BU24" s="11" t="str">
        <f t="shared" ca="1" si="82"/>
        <v/>
      </c>
      <c r="BV24" s="11" t="str">
        <f t="shared" ca="1" si="82"/>
        <v/>
      </c>
      <c r="BW24" s="11" t="str">
        <f t="shared" ca="1" si="82"/>
        <v/>
      </c>
      <c r="BX24" s="11" t="str">
        <f t="shared" ca="1" si="82"/>
        <v/>
      </c>
      <c r="BY24" s="11" t="str">
        <f t="shared" ca="1" si="82"/>
        <v/>
      </c>
      <c r="BZ24" s="11" t="str">
        <f t="shared" ca="1" si="82"/>
        <v/>
      </c>
    </row>
    <row r="25" spans="1:78">
      <c r="A25">
        <v>-21</v>
      </c>
      <c r="B25" s="1">
        <f t="shared" si="11"/>
        <v>-21</v>
      </c>
      <c r="C25" s="4" t="e">
        <f>MATCH(B25,テーブル1[日付],0)+1</f>
        <v>#N/A</v>
      </c>
      <c r="D25" t="e">
        <f>ADDRESS(C25,2,4,1)&amp;":"&amp;ADDRESS(C25+COUNTIF(テーブル1[日付],日毎の人員構成・人員別日毎の従事ライン!B25)-1,2,4,1)</f>
        <v>#N/A</v>
      </c>
      <c r="E25" t="e">
        <f>ADDRESS(C25,3,4,1)&amp;":"&amp;ADDRESS($C25+COUNTIF(テーブル1[日付],日毎の人員構成・人員別日毎の従事ライン!B25)-1,3,4,1)</f>
        <v>#N/A</v>
      </c>
      <c r="F25" s="4" t="e">
        <f t="shared" ca="1" si="12"/>
        <v>#N/A</v>
      </c>
      <c r="G25" s="4" t="e">
        <f t="shared" ca="1" si="12"/>
        <v>#N/A</v>
      </c>
      <c r="H25" s="4" t="e">
        <f t="shared" ca="1" si="12"/>
        <v>#N/A</v>
      </c>
      <c r="I25" s="4" t="e">
        <f t="shared" ca="1" si="12"/>
        <v>#N/A</v>
      </c>
      <c r="J25" s="4" t="e">
        <f t="shared" ca="1" si="12"/>
        <v>#N/A</v>
      </c>
      <c r="K25" s="4" t="e">
        <f t="shared" ca="1" si="12"/>
        <v>#N/A</v>
      </c>
      <c r="L25" s="4" t="e">
        <f t="shared" ca="1" si="12"/>
        <v>#N/A</v>
      </c>
      <c r="M25" s="4" t="e">
        <f t="shared" ca="1" si="81"/>
        <v>#N/A</v>
      </c>
      <c r="N25" s="4" t="e">
        <f t="shared" ca="1" si="81"/>
        <v>#N/A</v>
      </c>
      <c r="O25" s="4" t="e">
        <f t="shared" ca="1" si="81"/>
        <v>#N/A</v>
      </c>
      <c r="P25" s="4" t="e">
        <f t="shared" ca="1" si="81"/>
        <v>#N/A</v>
      </c>
      <c r="Q25" s="4" t="e">
        <f t="shared" ca="1" si="12"/>
        <v>#N/A</v>
      </c>
      <c r="R25" s="4" t="e">
        <f t="shared" ca="1" si="80"/>
        <v>#N/A</v>
      </c>
      <c r="S25" s="4" t="e">
        <f t="shared" ca="1" si="80"/>
        <v>#N/A</v>
      </c>
      <c r="T25" t="e">
        <f t="shared" ca="1" si="48"/>
        <v>#N/A</v>
      </c>
      <c r="U25" t="e">
        <f t="shared" ca="1" si="13"/>
        <v>#N/A</v>
      </c>
      <c r="V25" t="e">
        <f t="shared" ca="1" si="14"/>
        <v>#N/A</v>
      </c>
      <c r="W25" t="e">
        <f t="shared" ca="1" si="15"/>
        <v>#N/A</v>
      </c>
      <c r="X25" t="e">
        <f t="shared" ca="1" si="16"/>
        <v>#N/A</v>
      </c>
      <c r="Y25" t="e">
        <f t="shared" ca="1" si="17"/>
        <v>#N/A</v>
      </c>
      <c r="Z25" t="e">
        <f t="shared" ca="1" si="18"/>
        <v>#N/A</v>
      </c>
      <c r="AA25" t="e">
        <f t="shared" ca="1" si="49"/>
        <v>#N/A</v>
      </c>
      <c r="AB25" t="e">
        <f t="shared" ca="1" si="19"/>
        <v>#N/A</v>
      </c>
      <c r="AC25" t="e">
        <f t="shared" ca="1" si="20"/>
        <v>#N/A</v>
      </c>
      <c r="AD25" t="e">
        <f t="shared" ca="1" si="21"/>
        <v>#N/A</v>
      </c>
      <c r="AE25" t="e">
        <f t="shared" ca="1" si="22"/>
        <v>#N/A</v>
      </c>
      <c r="AF25" t="e">
        <f t="shared" ca="1" si="23"/>
        <v>#N/A</v>
      </c>
      <c r="AG25" t="e">
        <f t="shared" ca="1" si="24"/>
        <v>#N/A</v>
      </c>
      <c r="AH25" s="6">
        <v>5</v>
      </c>
      <c r="AI25" s="6" t="e">
        <f t="shared" si="83"/>
        <v>#N/A</v>
      </c>
      <c r="AJ25" s="6" t="s">
        <v>37</v>
      </c>
      <c r="AK25" s="6" t="str" cm="1">
        <f t="array" aca="1" ref="AK25" ca="1">IFERROR(INDEX(INDEX(INDIRECT($A$2&amp;$AI25,TRUE),0),AK$2),"")</f>
        <v/>
      </c>
      <c r="AL25" s="6" t="str" cm="1">
        <f t="array" aca="1" ref="AL25" ca="1">IFERROR(INDEX(INDEX(INDIRECT($A$2&amp;$AI25,TRUE),0),AL$2),"")</f>
        <v/>
      </c>
      <c r="AM25" s="6" t="str" cm="1">
        <f t="array" aca="1" ref="AM25" ca="1">IFERROR(INDEX(INDEX(INDIRECT($A$2&amp;$AI25,TRUE),0),AM$2),"")</f>
        <v/>
      </c>
      <c r="AN25" s="6" t="str" cm="1">
        <f t="array" aca="1" ref="AN25" ca="1">IFERROR(INDEX(INDEX(INDIRECT($A$2&amp;$AI25,TRUE),0),AN$2),"")</f>
        <v/>
      </c>
      <c r="AO25" s="6" t="str" cm="1">
        <f t="array" aca="1" ref="AO25" ca="1">IFERROR(INDEX(INDEX(INDIRECT($A$2&amp;$AI25,TRUE),0),AO$2),"")</f>
        <v/>
      </c>
      <c r="AP25" s="6" t="str" cm="1">
        <f t="array" aca="1" ref="AP25" ca="1">IFERROR(INDEX(INDEX(INDIRECT($A$2&amp;$AI25,TRUE),0),AP$2),"")</f>
        <v/>
      </c>
      <c r="AQ25" s="6" t="str" cm="1">
        <f t="array" aca="1" ref="AQ25" ca="1">IFERROR(INDEX(INDEX(INDIRECT($A$2&amp;$AI25,TRUE),0),AQ$2),"")</f>
        <v/>
      </c>
      <c r="AR25" s="6" t="str" cm="1">
        <f t="array" aca="1" ref="AR25" ca="1">IFERROR(INDEX(INDEX(INDIRECT($A$2&amp;$AI25,TRUE),0),AR$2),"")</f>
        <v/>
      </c>
      <c r="AS25" s="6" t="str" cm="1">
        <f t="array" aca="1" ref="AS25" ca="1">IFERROR(INDEX(INDEX(INDIRECT($A$2&amp;$AI25,TRUE),0),AS$2),"")</f>
        <v/>
      </c>
      <c r="AT25" s="6" t="str" cm="1">
        <f t="array" aca="1" ref="AT25" ca="1">IFERROR(INDEX(INDEX(INDIRECT($A$2&amp;$AI25,TRUE),0),AT$2),"")</f>
        <v/>
      </c>
      <c r="AX25" s="11" t="str">
        <f t="shared" ca="1" si="75"/>
        <v/>
      </c>
      <c r="AY25" s="11" t="str">
        <f t="shared" ca="1" si="75"/>
        <v/>
      </c>
      <c r="AZ25" s="11" t="str">
        <f t="shared" ca="1" si="75"/>
        <v/>
      </c>
      <c r="BA25" s="11" t="str">
        <f t="shared" ca="1" si="75"/>
        <v/>
      </c>
      <c r="BB25" s="11" t="str">
        <f t="shared" ca="1" si="75"/>
        <v/>
      </c>
      <c r="BC25" s="11" t="str">
        <f t="shared" ca="1" si="75"/>
        <v/>
      </c>
      <c r="BD25" s="11" t="str">
        <f t="shared" ca="1" si="75"/>
        <v/>
      </c>
      <c r="BE25" s="11" t="str">
        <f t="shared" ca="1" si="82"/>
        <v/>
      </c>
      <c r="BF25" s="11" t="str">
        <f t="shared" ca="1" si="82"/>
        <v/>
      </c>
      <c r="BG25" s="11" t="str">
        <f t="shared" ca="1" si="82"/>
        <v/>
      </c>
      <c r="BH25" s="11" t="str">
        <f t="shared" ca="1" si="82"/>
        <v/>
      </c>
      <c r="BI25" s="11" t="str">
        <f t="shared" ca="1" si="82"/>
        <v/>
      </c>
      <c r="BJ25" s="11" t="str">
        <f t="shared" ca="1" si="82"/>
        <v/>
      </c>
      <c r="BK25" s="11" t="str">
        <f t="shared" ca="1" si="82"/>
        <v/>
      </c>
      <c r="BL25" s="11" t="str">
        <f t="shared" ca="1" si="82"/>
        <v/>
      </c>
      <c r="BM25" s="11" t="str">
        <f t="shared" ca="1" si="82"/>
        <v/>
      </c>
      <c r="BN25" s="11" t="str">
        <f t="shared" ca="1" si="82"/>
        <v/>
      </c>
      <c r="BO25" s="11" t="str">
        <f t="shared" ca="1" si="82"/>
        <v/>
      </c>
      <c r="BP25" s="11" t="str">
        <f t="shared" ca="1" si="82"/>
        <v/>
      </c>
      <c r="BQ25" s="11" t="str">
        <f t="shared" ca="1" si="82"/>
        <v/>
      </c>
      <c r="BR25" s="11" t="str">
        <f t="shared" ca="1" si="82"/>
        <v/>
      </c>
      <c r="BS25" s="11" t="str">
        <f t="shared" ca="1" si="82"/>
        <v/>
      </c>
      <c r="BT25" s="11" t="str">
        <f t="shared" ca="1" si="82"/>
        <v/>
      </c>
      <c r="BU25" s="11" t="str">
        <f t="shared" ca="1" si="82"/>
        <v/>
      </c>
      <c r="BV25" s="11" t="str">
        <f t="shared" ca="1" si="82"/>
        <v/>
      </c>
      <c r="BW25" s="11" t="str">
        <f t="shared" ca="1" si="82"/>
        <v/>
      </c>
      <c r="BX25" s="11" t="str">
        <f t="shared" ca="1" si="82"/>
        <v/>
      </c>
      <c r="BY25" s="11" t="str">
        <f t="shared" ca="1" si="82"/>
        <v/>
      </c>
      <c r="BZ25" s="11" t="str">
        <f t="shared" ca="1" si="82"/>
        <v/>
      </c>
    </row>
    <row r="26" spans="1:78">
      <c r="A26">
        <v>-22</v>
      </c>
      <c r="B26" s="1">
        <f t="shared" si="11"/>
        <v>-22</v>
      </c>
      <c r="C26" s="4" t="e">
        <f>MATCH(B26,テーブル1[日付],0)+1</f>
        <v>#N/A</v>
      </c>
      <c r="D26" t="e">
        <f>ADDRESS(C26,2,4,1)&amp;":"&amp;ADDRESS(C26+COUNTIF(テーブル1[日付],日毎の人員構成・人員別日毎の従事ライン!B26)-1,2,4,1)</f>
        <v>#N/A</v>
      </c>
      <c r="E26" t="e">
        <f>ADDRESS(C26,3,4,1)&amp;":"&amp;ADDRESS($C26+COUNTIF(テーブル1[日付],日毎の人員構成・人員別日毎の従事ライン!B26)-1,3,4,1)</f>
        <v>#N/A</v>
      </c>
      <c r="F26" s="4" t="e">
        <f t="shared" ca="1" si="12"/>
        <v>#N/A</v>
      </c>
      <c r="G26" s="4" t="e">
        <f t="shared" ca="1" si="12"/>
        <v>#N/A</v>
      </c>
      <c r="H26" s="4" t="e">
        <f t="shared" ca="1" si="12"/>
        <v>#N/A</v>
      </c>
      <c r="I26" s="4" t="e">
        <f t="shared" ca="1" si="12"/>
        <v>#N/A</v>
      </c>
      <c r="J26" s="4" t="e">
        <f t="shared" ca="1" si="12"/>
        <v>#N/A</v>
      </c>
      <c r="K26" s="4" t="e">
        <f t="shared" ca="1" si="12"/>
        <v>#N/A</v>
      </c>
      <c r="L26" s="4" t="e">
        <f t="shared" ca="1" si="12"/>
        <v>#N/A</v>
      </c>
      <c r="M26" s="4" t="e">
        <f t="shared" ca="1" si="81"/>
        <v>#N/A</v>
      </c>
      <c r="N26" s="4" t="e">
        <f t="shared" ca="1" si="81"/>
        <v>#N/A</v>
      </c>
      <c r="O26" s="4" t="e">
        <f t="shared" ca="1" si="81"/>
        <v>#N/A</v>
      </c>
      <c r="P26" s="4" t="e">
        <f t="shared" ca="1" si="81"/>
        <v>#N/A</v>
      </c>
      <c r="Q26" s="4" t="e">
        <f t="shared" ca="1" si="12"/>
        <v>#N/A</v>
      </c>
      <c r="R26" s="4" t="e">
        <f t="shared" ca="1" si="80"/>
        <v>#N/A</v>
      </c>
      <c r="S26" s="4" t="e">
        <f t="shared" ca="1" si="80"/>
        <v>#N/A</v>
      </c>
      <c r="T26" t="e">
        <f t="shared" ca="1" si="48"/>
        <v>#N/A</v>
      </c>
      <c r="U26" t="e">
        <f t="shared" ca="1" si="13"/>
        <v>#N/A</v>
      </c>
      <c r="V26" t="e">
        <f t="shared" ca="1" si="14"/>
        <v>#N/A</v>
      </c>
      <c r="W26" t="e">
        <f t="shared" ca="1" si="15"/>
        <v>#N/A</v>
      </c>
      <c r="X26" t="e">
        <f t="shared" ca="1" si="16"/>
        <v>#N/A</v>
      </c>
      <c r="Y26" t="e">
        <f t="shared" ca="1" si="17"/>
        <v>#N/A</v>
      </c>
      <c r="Z26" t="e">
        <f t="shared" ca="1" si="18"/>
        <v>#N/A</v>
      </c>
      <c r="AA26" t="e">
        <f t="shared" ca="1" si="49"/>
        <v>#N/A</v>
      </c>
      <c r="AB26" t="e">
        <f t="shared" ca="1" si="19"/>
        <v>#N/A</v>
      </c>
      <c r="AC26" t="e">
        <f t="shared" ca="1" si="20"/>
        <v>#N/A</v>
      </c>
      <c r="AD26" t="e">
        <f t="shared" ca="1" si="21"/>
        <v>#N/A</v>
      </c>
      <c r="AE26" t="e">
        <f t="shared" ca="1" si="22"/>
        <v>#N/A</v>
      </c>
      <c r="AF26" t="e">
        <f t="shared" ca="1" si="23"/>
        <v>#N/A</v>
      </c>
      <c r="AG26" t="e">
        <f t="shared" ca="1" si="24"/>
        <v>#N/A</v>
      </c>
      <c r="AH26" s="6">
        <v>6</v>
      </c>
      <c r="AI26" s="6" t="e">
        <f t="shared" si="83"/>
        <v>#N/A</v>
      </c>
      <c r="AJ26" s="6" t="s">
        <v>41</v>
      </c>
      <c r="AK26" s="6" t="str" cm="1">
        <f t="array" aca="1" ref="AK26" ca="1">IFERROR(INDEX(INDEX(INDIRECT($A$2&amp;$AI26,TRUE),0),AK$2),"")</f>
        <v/>
      </c>
      <c r="AL26" s="6" t="str" cm="1">
        <f t="array" aca="1" ref="AL26" ca="1">IFERROR(INDEX(INDEX(INDIRECT($A$2&amp;$AI26,TRUE),0),AL$2),"")</f>
        <v/>
      </c>
      <c r="AM26" s="6" t="str" cm="1">
        <f t="array" aca="1" ref="AM26" ca="1">IFERROR(INDEX(INDEX(INDIRECT($A$2&amp;$AI26,TRUE),0),AM$2),"")</f>
        <v/>
      </c>
      <c r="AN26" s="6" t="str" cm="1">
        <f t="array" aca="1" ref="AN26" ca="1">IFERROR(INDEX(INDEX(INDIRECT($A$2&amp;$AI26,TRUE),0),AN$2),"")</f>
        <v/>
      </c>
      <c r="AO26" s="6" t="str" cm="1">
        <f t="array" aca="1" ref="AO26" ca="1">IFERROR(INDEX(INDEX(INDIRECT($A$2&amp;$AI26,TRUE),0),AO$2),"")</f>
        <v/>
      </c>
      <c r="AP26" s="6" t="str" cm="1">
        <f t="array" aca="1" ref="AP26" ca="1">IFERROR(INDEX(INDEX(INDIRECT($A$2&amp;$AI26,TRUE),0),AP$2),"")</f>
        <v/>
      </c>
      <c r="AQ26" s="6" t="str" cm="1">
        <f t="array" aca="1" ref="AQ26" ca="1">IFERROR(INDEX(INDEX(INDIRECT($A$2&amp;$AI26,TRUE),0),AQ$2),"")</f>
        <v/>
      </c>
      <c r="AR26" s="6" t="str" cm="1">
        <f t="array" aca="1" ref="AR26" ca="1">IFERROR(INDEX(INDEX(INDIRECT($A$2&amp;$AI26,TRUE),0),AR$2),"")</f>
        <v/>
      </c>
      <c r="AS26" s="6" t="str" cm="1">
        <f t="array" aca="1" ref="AS26" ca="1">IFERROR(INDEX(INDEX(INDIRECT($A$2&amp;$AI26,TRUE),0),AS$2),"")</f>
        <v/>
      </c>
      <c r="AT26" s="6" t="str" cm="1">
        <f t="array" aca="1" ref="AT26" ca="1">IFERROR(INDEX(INDEX(INDIRECT($A$2&amp;$AI26,TRUE),0),AT$2),"")</f>
        <v/>
      </c>
      <c r="AX26" s="11" t="str">
        <f t="shared" ca="1" si="75"/>
        <v/>
      </c>
      <c r="AY26" s="11" t="str">
        <f t="shared" ca="1" si="75"/>
        <v/>
      </c>
      <c r="AZ26" s="11" t="str">
        <f t="shared" ca="1" si="75"/>
        <v/>
      </c>
      <c r="BA26" s="11" t="str">
        <f t="shared" ca="1" si="75"/>
        <v/>
      </c>
      <c r="BB26" s="11" t="str">
        <f t="shared" ca="1" si="75"/>
        <v/>
      </c>
      <c r="BC26" s="11" t="str">
        <f t="shared" ca="1" si="75"/>
        <v/>
      </c>
      <c r="BD26" s="11" t="str">
        <f t="shared" ca="1" si="75"/>
        <v/>
      </c>
      <c r="BE26" s="11" t="str">
        <f t="shared" ref="BE26:BZ30" ca="1" si="84">IFERROR(INDEX(INDIRECT(BE$1,TRUE),MATCH($AW26,INDIRECT(BE$2,TRUE),0)),"")</f>
        <v/>
      </c>
      <c r="BF26" s="11" t="str">
        <f t="shared" ca="1" si="84"/>
        <v/>
      </c>
      <c r="BG26" s="11" t="str">
        <f t="shared" ca="1" si="84"/>
        <v/>
      </c>
      <c r="BH26" s="11" t="str">
        <f t="shared" ca="1" si="84"/>
        <v/>
      </c>
      <c r="BI26" s="11" t="str">
        <f t="shared" ca="1" si="84"/>
        <v/>
      </c>
      <c r="BJ26" s="11" t="str">
        <f t="shared" ca="1" si="84"/>
        <v/>
      </c>
      <c r="BK26" s="11" t="str">
        <f t="shared" ca="1" si="84"/>
        <v/>
      </c>
      <c r="BL26" s="11" t="str">
        <f t="shared" ca="1" si="84"/>
        <v/>
      </c>
      <c r="BM26" s="11" t="str">
        <f t="shared" ca="1" si="84"/>
        <v/>
      </c>
      <c r="BN26" s="11" t="str">
        <f t="shared" ca="1" si="84"/>
        <v/>
      </c>
      <c r="BO26" s="11" t="str">
        <f t="shared" ca="1" si="84"/>
        <v/>
      </c>
      <c r="BP26" s="11" t="str">
        <f t="shared" ca="1" si="84"/>
        <v/>
      </c>
      <c r="BQ26" s="11" t="str">
        <f t="shared" ca="1" si="84"/>
        <v/>
      </c>
      <c r="BR26" s="11" t="str">
        <f t="shared" ca="1" si="84"/>
        <v/>
      </c>
      <c r="BS26" s="11" t="str">
        <f t="shared" ca="1" si="84"/>
        <v/>
      </c>
      <c r="BT26" s="11" t="str">
        <f t="shared" ca="1" si="84"/>
        <v/>
      </c>
      <c r="BU26" s="11" t="str">
        <f t="shared" ca="1" si="84"/>
        <v/>
      </c>
      <c r="BV26" s="11" t="str">
        <f t="shared" ca="1" si="84"/>
        <v/>
      </c>
      <c r="BW26" s="11" t="str">
        <f t="shared" ca="1" si="84"/>
        <v/>
      </c>
      <c r="BX26" s="11" t="str">
        <f t="shared" ca="1" si="84"/>
        <v/>
      </c>
      <c r="BY26" s="11" t="str">
        <f t="shared" ca="1" si="84"/>
        <v/>
      </c>
      <c r="BZ26" s="11" t="str">
        <f t="shared" ca="1" si="84"/>
        <v/>
      </c>
    </row>
    <row r="27" spans="1:78">
      <c r="A27">
        <v>-23</v>
      </c>
      <c r="B27" s="1">
        <f t="shared" si="11"/>
        <v>-23</v>
      </c>
      <c r="C27" s="4" t="e">
        <f>MATCH(B27,テーブル1[日付],0)+1</f>
        <v>#N/A</v>
      </c>
      <c r="D27" t="e">
        <f>ADDRESS(C27,2,4,1)&amp;":"&amp;ADDRESS(C27+COUNTIF(テーブル1[日付],日毎の人員構成・人員別日毎の従事ライン!B27)-1,2,4,1)</f>
        <v>#N/A</v>
      </c>
      <c r="E27" t="e">
        <f>ADDRESS(C27,3,4,1)&amp;":"&amp;ADDRESS($C27+COUNTIF(テーブル1[日付],日毎の人員構成・人員別日毎の従事ライン!B27)-1,3,4,1)</f>
        <v>#N/A</v>
      </c>
      <c r="F27" s="4" t="e">
        <f t="shared" ca="1" si="12"/>
        <v>#N/A</v>
      </c>
      <c r="G27" s="4" t="e">
        <f t="shared" ca="1" si="12"/>
        <v>#N/A</v>
      </c>
      <c r="H27" s="4" t="e">
        <f t="shared" ca="1" si="12"/>
        <v>#N/A</v>
      </c>
      <c r="I27" s="4" t="e">
        <f t="shared" ca="1" si="12"/>
        <v>#N/A</v>
      </c>
      <c r="J27" s="4" t="e">
        <f t="shared" ca="1" si="12"/>
        <v>#N/A</v>
      </c>
      <c r="K27" s="4" t="e">
        <f t="shared" ca="1" si="12"/>
        <v>#N/A</v>
      </c>
      <c r="L27" s="4" t="e">
        <f t="shared" ca="1" si="12"/>
        <v>#N/A</v>
      </c>
      <c r="M27" s="4" t="e">
        <f t="shared" ca="1" si="81"/>
        <v>#N/A</v>
      </c>
      <c r="N27" s="4" t="e">
        <f t="shared" ca="1" si="81"/>
        <v>#N/A</v>
      </c>
      <c r="O27" s="4" t="e">
        <f t="shared" ca="1" si="81"/>
        <v>#N/A</v>
      </c>
      <c r="P27" s="4" t="e">
        <f t="shared" ca="1" si="81"/>
        <v>#N/A</v>
      </c>
      <c r="Q27" s="4" t="e">
        <f t="shared" ca="1" si="12"/>
        <v>#N/A</v>
      </c>
      <c r="R27" s="4" t="e">
        <f t="shared" ca="1" si="80"/>
        <v>#N/A</v>
      </c>
      <c r="S27" s="4" t="e">
        <f t="shared" ca="1" si="80"/>
        <v>#N/A</v>
      </c>
      <c r="T27" t="e">
        <f t="shared" ca="1" si="48"/>
        <v>#N/A</v>
      </c>
      <c r="U27" t="e">
        <f t="shared" ca="1" si="13"/>
        <v>#N/A</v>
      </c>
      <c r="V27" t="e">
        <f t="shared" ca="1" si="14"/>
        <v>#N/A</v>
      </c>
      <c r="W27" t="e">
        <f t="shared" ca="1" si="15"/>
        <v>#N/A</v>
      </c>
      <c r="X27" t="e">
        <f t="shared" ca="1" si="16"/>
        <v>#N/A</v>
      </c>
      <c r="Y27" t="e">
        <f t="shared" ca="1" si="17"/>
        <v>#N/A</v>
      </c>
      <c r="Z27" t="e">
        <f t="shared" ca="1" si="18"/>
        <v>#N/A</v>
      </c>
      <c r="AA27" t="e">
        <f t="shared" ca="1" si="49"/>
        <v>#N/A</v>
      </c>
      <c r="AB27" t="e">
        <f t="shared" ca="1" si="19"/>
        <v>#N/A</v>
      </c>
      <c r="AC27" t="e">
        <f t="shared" ca="1" si="20"/>
        <v>#N/A</v>
      </c>
      <c r="AD27" t="e">
        <f t="shared" ca="1" si="21"/>
        <v>#N/A</v>
      </c>
      <c r="AE27" t="e">
        <f t="shared" ca="1" si="22"/>
        <v>#N/A</v>
      </c>
      <c r="AF27" t="e">
        <f t="shared" ca="1" si="23"/>
        <v>#N/A</v>
      </c>
      <c r="AG27" t="e">
        <f t="shared" ca="1" si="24"/>
        <v>#N/A</v>
      </c>
      <c r="AI27" t="s">
        <v>63</v>
      </c>
      <c r="AJ27" s="8">
        <f>AJ20-1</f>
        <v>-3</v>
      </c>
      <c r="AK27" s="9" t="e">
        <f>" ("&amp;CHOOSE(WEEKDAY(AJ27,1),"日","月","火","水","木","金","土")&amp;")"</f>
        <v>#NUM!</v>
      </c>
      <c r="AL27" s="10"/>
      <c r="AM27" s="10"/>
      <c r="AN27" s="10"/>
      <c r="AO27" s="10"/>
      <c r="AP27" s="10"/>
      <c r="AQ27" s="10"/>
      <c r="AR27" s="10"/>
      <c r="AS27" s="10"/>
      <c r="AT27" s="10"/>
      <c r="AX27" s="11" t="str">
        <f t="shared" ca="1" si="75"/>
        <v/>
      </c>
      <c r="AY27" s="11" t="str">
        <f t="shared" ca="1" si="75"/>
        <v/>
      </c>
      <c r="AZ27" s="11" t="str">
        <f t="shared" ca="1" si="75"/>
        <v/>
      </c>
      <c r="BA27" s="11" t="str">
        <f t="shared" ca="1" si="75"/>
        <v/>
      </c>
      <c r="BB27" s="11" t="str">
        <f t="shared" ca="1" si="75"/>
        <v/>
      </c>
      <c r="BC27" s="11" t="str">
        <f t="shared" ca="1" si="75"/>
        <v/>
      </c>
      <c r="BD27" s="11" t="str">
        <f t="shared" ca="1" si="75"/>
        <v/>
      </c>
      <c r="BE27" s="11" t="str">
        <f t="shared" ca="1" si="84"/>
        <v/>
      </c>
      <c r="BF27" s="11" t="str">
        <f t="shared" ca="1" si="84"/>
        <v/>
      </c>
      <c r="BG27" s="11" t="str">
        <f t="shared" ca="1" si="84"/>
        <v/>
      </c>
      <c r="BH27" s="11" t="str">
        <f t="shared" ca="1" si="84"/>
        <v/>
      </c>
      <c r="BI27" s="11" t="str">
        <f t="shared" ca="1" si="84"/>
        <v/>
      </c>
      <c r="BJ27" s="11" t="str">
        <f t="shared" ca="1" si="84"/>
        <v/>
      </c>
      <c r="BK27" s="11" t="str">
        <f t="shared" ca="1" si="84"/>
        <v/>
      </c>
      <c r="BL27" s="11" t="str">
        <f t="shared" ca="1" si="84"/>
        <v/>
      </c>
      <c r="BM27" s="11" t="str">
        <f t="shared" ca="1" si="84"/>
        <v/>
      </c>
      <c r="BN27" s="11" t="str">
        <f t="shared" ca="1" si="84"/>
        <v/>
      </c>
      <c r="BO27" s="11" t="str">
        <f t="shared" ca="1" si="84"/>
        <v/>
      </c>
      <c r="BP27" s="11" t="str">
        <f t="shared" ca="1" si="84"/>
        <v/>
      </c>
      <c r="BQ27" s="11" t="str">
        <f t="shared" ca="1" si="84"/>
        <v/>
      </c>
      <c r="BR27" s="11" t="str">
        <f t="shared" ca="1" si="84"/>
        <v/>
      </c>
      <c r="BS27" s="11" t="str">
        <f t="shared" ca="1" si="84"/>
        <v/>
      </c>
      <c r="BT27" s="11" t="str">
        <f t="shared" ca="1" si="84"/>
        <v/>
      </c>
      <c r="BU27" s="11" t="str">
        <f t="shared" ca="1" si="84"/>
        <v/>
      </c>
      <c r="BV27" s="11" t="str">
        <f t="shared" ca="1" si="84"/>
        <v/>
      </c>
      <c r="BW27" s="11" t="str">
        <f t="shared" ca="1" si="84"/>
        <v/>
      </c>
      <c r="BX27" s="11" t="str">
        <f t="shared" ca="1" si="84"/>
        <v/>
      </c>
      <c r="BY27" s="11" t="str">
        <f t="shared" ca="1" si="84"/>
        <v/>
      </c>
      <c r="BZ27" s="11" t="str">
        <f t="shared" ca="1" si="84"/>
        <v/>
      </c>
    </row>
    <row r="28" spans="1:78">
      <c r="A28">
        <v>-24</v>
      </c>
      <c r="B28" s="1">
        <f t="shared" si="11"/>
        <v>-24</v>
      </c>
      <c r="C28" s="4" t="e">
        <f>MATCH(B28,テーブル1[日付],0)+1</f>
        <v>#N/A</v>
      </c>
      <c r="D28" t="e">
        <f>ADDRESS(C28,2,4,1)&amp;":"&amp;ADDRESS(C28+COUNTIF(テーブル1[日付],日毎の人員構成・人員別日毎の従事ライン!B28)-1,2,4,1)</f>
        <v>#N/A</v>
      </c>
      <c r="E28" t="e">
        <f>ADDRESS(C28,3,4,1)&amp;":"&amp;ADDRESS($C28+COUNTIF(テーブル1[日付],日毎の人員構成・人員別日毎の従事ライン!B28)-1,3,4,1)</f>
        <v>#N/A</v>
      </c>
      <c r="F28" s="4" t="e">
        <f t="shared" ca="1" si="12"/>
        <v>#N/A</v>
      </c>
      <c r="G28" s="4" t="e">
        <f t="shared" ca="1" si="12"/>
        <v>#N/A</v>
      </c>
      <c r="H28" s="4" t="e">
        <f t="shared" ca="1" si="12"/>
        <v>#N/A</v>
      </c>
      <c r="I28" s="4" t="e">
        <f t="shared" ca="1" si="12"/>
        <v>#N/A</v>
      </c>
      <c r="J28" s="4" t="e">
        <f t="shared" ca="1" si="12"/>
        <v>#N/A</v>
      </c>
      <c r="K28" s="4" t="e">
        <f t="shared" ca="1" si="12"/>
        <v>#N/A</v>
      </c>
      <c r="L28" s="4" t="e">
        <f t="shared" ca="1" si="12"/>
        <v>#N/A</v>
      </c>
      <c r="M28" s="4" t="e">
        <f t="shared" ca="1" si="81"/>
        <v>#N/A</v>
      </c>
      <c r="N28" s="4" t="e">
        <f t="shared" ca="1" si="81"/>
        <v>#N/A</v>
      </c>
      <c r="O28" s="4" t="e">
        <f t="shared" ca="1" si="81"/>
        <v>#N/A</v>
      </c>
      <c r="P28" s="4" t="e">
        <f t="shared" ca="1" si="81"/>
        <v>#N/A</v>
      </c>
      <c r="Q28" s="4" t="e">
        <f t="shared" ca="1" si="12"/>
        <v>#N/A</v>
      </c>
      <c r="R28" s="4" t="e">
        <f t="shared" ca="1" si="80"/>
        <v>#N/A</v>
      </c>
      <c r="S28" s="4" t="e">
        <f t="shared" ca="1" si="80"/>
        <v>#N/A</v>
      </c>
      <c r="T28" t="e">
        <f t="shared" ca="1" si="48"/>
        <v>#N/A</v>
      </c>
      <c r="U28" t="e">
        <f t="shared" ca="1" si="13"/>
        <v>#N/A</v>
      </c>
      <c r="V28" t="e">
        <f t="shared" ca="1" si="14"/>
        <v>#N/A</v>
      </c>
      <c r="W28" t="e">
        <f t="shared" ca="1" si="15"/>
        <v>#N/A</v>
      </c>
      <c r="X28" t="e">
        <f t="shared" ca="1" si="16"/>
        <v>#N/A</v>
      </c>
      <c r="Y28" t="e">
        <f t="shared" ca="1" si="17"/>
        <v>#N/A</v>
      </c>
      <c r="Z28" t="e">
        <f t="shared" ca="1" si="18"/>
        <v>#N/A</v>
      </c>
      <c r="AA28" t="e">
        <f t="shared" ca="1" si="49"/>
        <v>#N/A</v>
      </c>
      <c r="AB28" t="e">
        <f t="shared" ca="1" si="19"/>
        <v>#N/A</v>
      </c>
      <c r="AC28" t="e">
        <f t="shared" ca="1" si="20"/>
        <v>#N/A</v>
      </c>
      <c r="AD28" t="e">
        <f t="shared" ca="1" si="21"/>
        <v>#N/A</v>
      </c>
      <c r="AE28" t="e">
        <f t="shared" ca="1" si="22"/>
        <v>#N/A</v>
      </c>
      <c r="AF28" t="e">
        <f t="shared" ca="1" si="23"/>
        <v>#N/A</v>
      </c>
      <c r="AG28" t="e">
        <f t="shared" ca="1" si="24"/>
        <v>#N/A</v>
      </c>
      <c r="AH28" s="6">
        <v>1</v>
      </c>
      <c r="AI28" s="6" t="e">
        <f>INDEX($T$4:$AE$32,MATCH($AJ$27,$B$4:$B$34,0),MATCH($AJ28,$T$3:$AE$3,0))</f>
        <v>#N/A</v>
      </c>
      <c r="AJ28" s="6" t="s">
        <v>19</v>
      </c>
      <c r="AK28" s="6" t="str" cm="1">
        <f t="array" aca="1" ref="AK28" ca="1">IFERROR(INDEX(INDEX(INDIRECT($A$2&amp;$AI28,TRUE),0),AK$2),"")</f>
        <v/>
      </c>
      <c r="AL28" s="6" t="str" cm="1">
        <f t="array" aca="1" ref="AL28" ca="1">IFERROR(INDEX(INDEX(INDIRECT($A$2&amp;$AI28,TRUE),0),AL$2),"")</f>
        <v/>
      </c>
      <c r="AM28" s="6" t="str" cm="1">
        <f t="array" aca="1" ref="AM28" ca="1">IFERROR(INDEX(INDEX(INDIRECT($A$2&amp;$AI28,TRUE),0),AM$2),"")</f>
        <v/>
      </c>
      <c r="AN28" s="6" t="str" cm="1">
        <f t="array" aca="1" ref="AN28" ca="1">IFERROR(INDEX(INDEX(INDIRECT($A$2&amp;$AI28,TRUE),0),AN$2),"")</f>
        <v/>
      </c>
      <c r="AO28" s="6" t="str" cm="1">
        <f t="array" aca="1" ref="AO28" ca="1">IFERROR(INDEX(INDEX(INDIRECT($A$2&amp;$AI28,TRUE),0),AO$2),"")</f>
        <v/>
      </c>
      <c r="AP28" s="6" t="str" cm="1">
        <f t="array" aca="1" ref="AP28" ca="1">IFERROR(INDEX(INDEX(INDIRECT($A$2&amp;$AI28,TRUE),0),AP$2),"")</f>
        <v/>
      </c>
      <c r="AQ28" s="6" t="str" cm="1">
        <f t="array" aca="1" ref="AQ28" ca="1">IFERROR(INDEX(INDEX(INDIRECT($A$2&amp;$AI28,TRUE),0),AQ$2),"")</f>
        <v/>
      </c>
      <c r="AR28" s="6" t="str" cm="1">
        <f t="array" aca="1" ref="AR28" ca="1">IFERROR(INDEX(INDEX(INDIRECT($A$2&amp;$AI28,TRUE),0),AR$2),"")</f>
        <v/>
      </c>
      <c r="AS28" s="6" t="str" cm="1">
        <f t="array" aca="1" ref="AS28" ca="1">IFERROR(INDEX(INDEX(INDIRECT($A$2&amp;$AI28,TRUE),0),AS$2),"")</f>
        <v/>
      </c>
      <c r="AT28" s="6" t="str" cm="1">
        <f t="array" aca="1" ref="AT28" ca="1">IFERROR(INDEX(INDEX(INDIRECT($A$2&amp;$AI28,TRUE),0),AT$2),"")</f>
        <v/>
      </c>
      <c r="AX28" s="11" t="str">
        <f t="shared" ca="1" si="75"/>
        <v/>
      </c>
      <c r="AY28" s="11" t="str">
        <f t="shared" ca="1" si="75"/>
        <v/>
      </c>
      <c r="AZ28" s="11" t="str">
        <f t="shared" ca="1" si="75"/>
        <v/>
      </c>
      <c r="BA28" s="11" t="str">
        <f t="shared" ca="1" si="75"/>
        <v/>
      </c>
      <c r="BB28" s="11" t="str">
        <f t="shared" ca="1" si="75"/>
        <v/>
      </c>
      <c r="BC28" s="11" t="str">
        <f t="shared" ca="1" si="75"/>
        <v/>
      </c>
      <c r="BD28" s="11" t="str">
        <f t="shared" ca="1" si="75"/>
        <v/>
      </c>
      <c r="BE28" s="11" t="str">
        <f t="shared" ca="1" si="84"/>
        <v/>
      </c>
      <c r="BF28" s="11" t="str">
        <f t="shared" ca="1" si="84"/>
        <v/>
      </c>
      <c r="BG28" s="11" t="str">
        <f t="shared" ca="1" si="84"/>
        <v/>
      </c>
      <c r="BH28" s="11" t="str">
        <f t="shared" ca="1" si="84"/>
        <v/>
      </c>
      <c r="BI28" s="11" t="str">
        <f t="shared" ca="1" si="84"/>
        <v/>
      </c>
      <c r="BJ28" s="11" t="str">
        <f t="shared" ca="1" si="84"/>
        <v/>
      </c>
      <c r="BK28" s="11" t="str">
        <f t="shared" ca="1" si="84"/>
        <v/>
      </c>
      <c r="BL28" s="11" t="str">
        <f t="shared" ca="1" si="84"/>
        <v/>
      </c>
      <c r="BM28" s="11" t="str">
        <f t="shared" ca="1" si="84"/>
        <v/>
      </c>
      <c r="BN28" s="11" t="str">
        <f t="shared" ca="1" si="84"/>
        <v/>
      </c>
      <c r="BO28" s="11" t="str">
        <f t="shared" ca="1" si="84"/>
        <v/>
      </c>
      <c r="BP28" s="11" t="str">
        <f t="shared" ca="1" si="84"/>
        <v/>
      </c>
      <c r="BQ28" s="11" t="str">
        <f t="shared" ca="1" si="84"/>
        <v/>
      </c>
      <c r="BR28" s="11" t="str">
        <f t="shared" ca="1" si="84"/>
        <v/>
      </c>
      <c r="BS28" s="11" t="str">
        <f t="shared" ca="1" si="84"/>
        <v/>
      </c>
      <c r="BT28" s="11" t="str">
        <f t="shared" ca="1" si="84"/>
        <v/>
      </c>
      <c r="BU28" s="11" t="str">
        <f t="shared" ca="1" si="84"/>
        <v/>
      </c>
      <c r="BV28" s="11" t="str">
        <f t="shared" ca="1" si="84"/>
        <v/>
      </c>
      <c r="BW28" s="11" t="str">
        <f t="shared" ca="1" si="84"/>
        <v/>
      </c>
      <c r="BX28" s="11" t="str">
        <f t="shared" ca="1" si="84"/>
        <v/>
      </c>
      <c r="BY28" s="11" t="str">
        <f t="shared" ca="1" si="84"/>
        <v/>
      </c>
      <c r="BZ28" s="11" t="str">
        <f t="shared" ca="1" si="84"/>
        <v/>
      </c>
    </row>
    <row r="29" spans="1:78">
      <c r="A29">
        <v>-25</v>
      </c>
      <c r="B29" s="1">
        <f t="shared" si="11"/>
        <v>-25</v>
      </c>
      <c r="C29" s="4" t="e">
        <f>MATCH(B29,テーブル1[日付],0)+1</f>
        <v>#N/A</v>
      </c>
      <c r="D29" t="e">
        <f>ADDRESS(C29,2,4,1)&amp;":"&amp;ADDRESS(C29+COUNTIF(テーブル1[日付],日毎の人員構成・人員別日毎の従事ライン!B29)-1,2,4,1)</f>
        <v>#N/A</v>
      </c>
      <c r="E29" t="e">
        <f>ADDRESS(C29,3,4,1)&amp;":"&amp;ADDRESS($C29+COUNTIF(テーブル1[日付],日毎の人員構成・人員別日毎の従事ライン!B29)-1,3,4,1)</f>
        <v>#N/A</v>
      </c>
      <c r="F29" s="4" t="e">
        <f t="shared" ca="1" si="12"/>
        <v>#N/A</v>
      </c>
      <c r="G29" s="4" t="e">
        <f t="shared" ca="1" si="12"/>
        <v>#N/A</v>
      </c>
      <c r="H29" s="4" t="e">
        <f t="shared" ca="1" si="12"/>
        <v>#N/A</v>
      </c>
      <c r="I29" s="4" t="e">
        <f t="shared" ca="1" si="12"/>
        <v>#N/A</v>
      </c>
      <c r="J29" s="4" t="e">
        <f t="shared" ca="1" si="12"/>
        <v>#N/A</v>
      </c>
      <c r="K29" s="4" t="e">
        <f t="shared" ca="1" si="12"/>
        <v>#N/A</v>
      </c>
      <c r="L29" s="4" t="e">
        <f t="shared" ca="1" si="12"/>
        <v>#N/A</v>
      </c>
      <c r="M29" s="4" t="e">
        <f t="shared" ca="1" si="81"/>
        <v>#N/A</v>
      </c>
      <c r="N29" s="4" t="e">
        <f t="shared" ca="1" si="81"/>
        <v>#N/A</v>
      </c>
      <c r="O29" s="4" t="e">
        <f t="shared" ca="1" si="81"/>
        <v>#N/A</v>
      </c>
      <c r="P29" s="4" t="e">
        <f t="shared" ca="1" si="81"/>
        <v>#N/A</v>
      </c>
      <c r="Q29" s="4" t="e">
        <f t="shared" ca="1" si="12"/>
        <v>#N/A</v>
      </c>
      <c r="R29" s="4" t="e">
        <f t="shared" ca="1" si="80"/>
        <v>#N/A</v>
      </c>
      <c r="S29" s="4" t="e">
        <f t="shared" ca="1" si="80"/>
        <v>#N/A</v>
      </c>
      <c r="T29" t="e">
        <f t="shared" ca="1" si="48"/>
        <v>#N/A</v>
      </c>
      <c r="U29" t="e">
        <f t="shared" ca="1" si="13"/>
        <v>#N/A</v>
      </c>
      <c r="V29" t="e">
        <f t="shared" ca="1" si="14"/>
        <v>#N/A</v>
      </c>
      <c r="W29" t="e">
        <f t="shared" ca="1" si="15"/>
        <v>#N/A</v>
      </c>
      <c r="X29" t="e">
        <f t="shared" ca="1" si="16"/>
        <v>#N/A</v>
      </c>
      <c r="Y29" t="e">
        <f t="shared" ca="1" si="17"/>
        <v>#N/A</v>
      </c>
      <c r="Z29" t="e">
        <f t="shared" ca="1" si="18"/>
        <v>#N/A</v>
      </c>
      <c r="AA29" t="e">
        <f t="shared" ca="1" si="49"/>
        <v>#N/A</v>
      </c>
      <c r="AB29" t="e">
        <f t="shared" ca="1" si="19"/>
        <v>#N/A</v>
      </c>
      <c r="AC29" t="e">
        <f t="shared" ca="1" si="20"/>
        <v>#N/A</v>
      </c>
      <c r="AD29" t="e">
        <f t="shared" ca="1" si="21"/>
        <v>#N/A</v>
      </c>
      <c r="AE29" t="e">
        <f t="shared" ca="1" si="22"/>
        <v>#N/A</v>
      </c>
      <c r="AF29" t="e">
        <f t="shared" ca="1" si="23"/>
        <v>#N/A</v>
      </c>
      <c r="AG29" t="e">
        <f t="shared" ca="1" si="24"/>
        <v>#N/A</v>
      </c>
      <c r="AH29" s="6">
        <v>2</v>
      </c>
      <c r="AI29" s="6" t="e">
        <f t="shared" ref="AI29:AI33" si="85">INDEX($T$4:$AE$32,MATCH($AJ$27,$B$4:$B$34,0),MATCH($AJ29,$T$3:$AE$3,0))</f>
        <v>#N/A</v>
      </c>
      <c r="AJ29" s="6" t="s">
        <v>24</v>
      </c>
      <c r="AK29" s="6" t="str" cm="1">
        <f t="array" aca="1" ref="AK29" ca="1">IFERROR(INDEX(INDEX(INDIRECT($A$2&amp;$AI29,TRUE),0),AK$2),"")</f>
        <v/>
      </c>
      <c r="AL29" s="6" t="str" cm="1">
        <f t="array" aca="1" ref="AL29" ca="1">IFERROR(INDEX(INDEX(INDIRECT($A$2&amp;$AI29,TRUE),0),AL$2),"")</f>
        <v/>
      </c>
      <c r="AM29" s="6" t="str" cm="1">
        <f t="array" aca="1" ref="AM29" ca="1">IFERROR(INDEX(INDEX(INDIRECT($A$2&amp;$AI29,TRUE),0),AM$2),"")</f>
        <v/>
      </c>
      <c r="AN29" s="6" t="str" cm="1">
        <f t="array" aca="1" ref="AN29" ca="1">IFERROR(INDEX(INDEX(INDIRECT($A$2&amp;$AI29,TRUE),0),AN$2),"")</f>
        <v/>
      </c>
      <c r="AO29" s="6" t="str" cm="1">
        <f t="array" aca="1" ref="AO29" ca="1">IFERROR(INDEX(INDEX(INDIRECT($A$2&amp;$AI29,TRUE),0),AO$2),"")</f>
        <v/>
      </c>
      <c r="AP29" s="6" t="str" cm="1">
        <f t="array" aca="1" ref="AP29" ca="1">IFERROR(INDEX(INDEX(INDIRECT($A$2&amp;$AI29,TRUE),0),AP$2),"")</f>
        <v/>
      </c>
      <c r="AQ29" s="6" t="str" cm="1">
        <f t="array" aca="1" ref="AQ29" ca="1">IFERROR(INDEX(INDEX(INDIRECT($A$2&amp;$AI29,TRUE),0),AQ$2),"")</f>
        <v/>
      </c>
      <c r="AR29" s="6" t="str" cm="1">
        <f t="array" aca="1" ref="AR29" ca="1">IFERROR(INDEX(INDEX(INDIRECT($A$2&amp;$AI29,TRUE),0),AR$2),"")</f>
        <v/>
      </c>
      <c r="AS29" s="6" t="str" cm="1">
        <f t="array" aca="1" ref="AS29" ca="1">IFERROR(INDEX(INDEX(INDIRECT($A$2&amp;$AI29,TRUE),0),AS$2),"")</f>
        <v/>
      </c>
      <c r="AT29" s="6" t="str" cm="1">
        <f t="array" aca="1" ref="AT29" ca="1">IFERROR(INDEX(INDEX(INDIRECT($A$2&amp;$AI29,TRUE),0),AT$2),"")</f>
        <v/>
      </c>
      <c r="AX29" s="11" t="str">
        <f t="shared" ca="1" si="75"/>
        <v/>
      </c>
      <c r="AY29" s="11" t="str">
        <f t="shared" ca="1" si="75"/>
        <v/>
      </c>
      <c r="AZ29" s="11" t="str">
        <f t="shared" ca="1" si="75"/>
        <v/>
      </c>
      <c r="BA29" s="11" t="str">
        <f t="shared" ca="1" si="75"/>
        <v/>
      </c>
      <c r="BB29" s="11" t="str">
        <f t="shared" ca="1" si="75"/>
        <v/>
      </c>
      <c r="BC29" s="11" t="str">
        <f t="shared" ca="1" si="75"/>
        <v/>
      </c>
      <c r="BD29" s="11" t="str">
        <f t="shared" ca="1" si="75"/>
        <v/>
      </c>
      <c r="BE29" s="11" t="str">
        <f t="shared" ca="1" si="84"/>
        <v/>
      </c>
      <c r="BF29" s="11" t="str">
        <f t="shared" ca="1" si="84"/>
        <v/>
      </c>
      <c r="BG29" s="11" t="str">
        <f t="shared" ca="1" si="84"/>
        <v/>
      </c>
      <c r="BH29" s="11" t="str">
        <f t="shared" ca="1" si="84"/>
        <v/>
      </c>
      <c r="BI29" s="11" t="str">
        <f t="shared" ca="1" si="84"/>
        <v/>
      </c>
      <c r="BJ29" s="11" t="str">
        <f t="shared" ca="1" si="84"/>
        <v/>
      </c>
      <c r="BK29" s="11" t="str">
        <f t="shared" ca="1" si="84"/>
        <v/>
      </c>
      <c r="BL29" s="11" t="str">
        <f t="shared" ca="1" si="84"/>
        <v/>
      </c>
      <c r="BM29" s="11" t="str">
        <f t="shared" ca="1" si="84"/>
        <v/>
      </c>
      <c r="BN29" s="11" t="str">
        <f t="shared" ca="1" si="84"/>
        <v/>
      </c>
      <c r="BO29" s="11" t="str">
        <f t="shared" ca="1" si="84"/>
        <v/>
      </c>
      <c r="BP29" s="11" t="str">
        <f t="shared" ca="1" si="84"/>
        <v/>
      </c>
      <c r="BQ29" s="11" t="str">
        <f t="shared" ca="1" si="84"/>
        <v/>
      </c>
      <c r="BR29" s="11" t="str">
        <f t="shared" ca="1" si="84"/>
        <v/>
      </c>
      <c r="BS29" s="11" t="str">
        <f t="shared" ca="1" si="84"/>
        <v/>
      </c>
      <c r="BT29" s="11" t="str">
        <f t="shared" ca="1" si="84"/>
        <v/>
      </c>
      <c r="BU29" s="11" t="str">
        <f t="shared" ca="1" si="84"/>
        <v/>
      </c>
      <c r="BV29" s="11" t="str">
        <f t="shared" ca="1" si="84"/>
        <v/>
      </c>
      <c r="BW29" s="11" t="str">
        <f t="shared" ca="1" si="84"/>
        <v/>
      </c>
      <c r="BX29" s="11" t="str">
        <f t="shared" ca="1" si="84"/>
        <v/>
      </c>
      <c r="BY29" s="11" t="str">
        <f t="shared" ca="1" si="84"/>
        <v/>
      </c>
      <c r="BZ29" s="11" t="str">
        <f t="shared" ca="1" si="84"/>
        <v/>
      </c>
    </row>
    <row r="30" spans="1:78">
      <c r="A30">
        <v>-26</v>
      </c>
      <c r="B30" s="1">
        <f t="shared" si="11"/>
        <v>-26</v>
      </c>
      <c r="C30" s="4" t="e">
        <f>MATCH(B30,テーブル1[日付],0)+1</f>
        <v>#N/A</v>
      </c>
      <c r="D30" t="e">
        <f>ADDRESS(C30,2,4,1)&amp;":"&amp;ADDRESS(C30+COUNTIF(テーブル1[日付],日毎の人員構成・人員別日毎の従事ライン!B30)-1,2,4,1)</f>
        <v>#N/A</v>
      </c>
      <c r="E30" t="e">
        <f>ADDRESS(C30,3,4,1)&amp;":"&amp;ADDRESS($C30+COUNTIF(テーブル1[日付],日毎の人員構成・人員別日毎の従事ライン!B30)-1,3,4,1)</f>
        <v>#N/A</v>
      </c>
      <c r="F30" s="4" t="e">
        <f t="shared" ca="1" si="12"/>
        <v>#N/A</v>
      </c>
      <c r="G30" s="4" t="e">
        <f t="shared" ca="1" si="12"/>
        <v>#N/A</v>
      </c>
      <c r="H30" s="4" t="e">
        <f t="shared" ca="1" si="12"/>
        <v>#N/A</v>
      </c>
      <c r="I30" s="4" t="e">
        <f t="shared" ca="1" si="12"/>
        <v>#N/A</v>
      </c>
      <c r="J30" s="4" t="e">
        <f t="shared" ca="1" si="12"/>
        <v>#N/A</v>
      </c>
      <c r="K30" s="4" t="e">
        <f t="shared" ca="1" si="12"/>
        <v>#N/A</v>
      </c>
      <c r="L30" s="4" t="e">
        <f t="shared" ca="1" si="12"/>
        <v>#N/A</v>
      </c>
      <c r="M30" s="4" t="e">
        <f t="shared" ca="1" si="81"/>
        <v>#N/A</v>
      </c>
      <c r="N30" s="4" t="e">
        <f t="shared" ca="1" si="81"/>
        <v>#N/A</v>
      </c>
      <c r="O30" s="4" t="e">
        <f t="shared" ca="1" si="81"/>
        <v>#N/A</v>
      </c>
      <c r="P30" s="4" t="e">
        <f t="shared" ca="1" si="81"/>
        <v>#N/A</v>
      </c>
      <c r="Q30" s="4" t="e">
        <f t="shared" ca="1" si="12"/>
        <v>#N/A</v>
      </c>
      <c r="R30" s="4" t="e">
        <f t="shared" ca="1" si="80"/>
        <v>#N/A</v>
      </c>
      <c r="S30" s="4" t="e">
        <f t="shared" ca="1" si="80"/>
        <v>#N/A</v>
      </c>
      <c r="T30" t="e">
        <f t="shared" ca="1" si="48"/>
        <v>#N/A</v>
      </c>
      <c r="U30" t="e">
        <f t="shared" ca="1" si="13"/>
        <v>#N/A</v>
      </c>
      <c r="V30" t="e">
        <f t="shared" ca="1" si="14"/>
        <v>#N/A</v>
      </c>
      <c r="W30" t="e">
        <f t="shared" ca="1" si="15"/>
        <v>#N/A</v>
      </c>
      <c r="X30" t="e">
        <f t="shared" ca="1" si="16"/>
        <v>#N/A</v>
      </c>
      <c r="Y30" t="e">
        <f t="shared" ca="1" si="17"/>
        <v>#N/A</v>
      </c>
      <c r="Z30" t="e">
        <f t="shared" ca="1" si="18"/>
        <v>#N/A</v>
      </c>
      <c r="AA30" t="e">
        <f t="shared" ca="1" si="49"/>
        <v>#N/A</v>
      </c>
      <c r="AB30" t="e">
        <f t="shared" ca="1" si="19"/>
        <v>#N/A</v>
      </c>
      <c r="AC30" t="e">
        <f t="shared" ca="1" si="20"/>
        <v>#N/A</v>
      </c>
      <c r="AD30" t="e">
        <f t="shared" ca="1" si="21"/>
        <v>#N/A</v>
      </c>
      <c r="AE30" t="e">
        <f t="shared" ca="1" si="22"/>
        <v>#N/A</v>
      </c>
      <c r="AF30" t="e">
        <f t="shared" ca="1" si="23"/>
        <v>#N/A</v>
      </c>
      <c r="AG30" t="e">
        <f t="shared" ca="1" si="24"/>
        <v>#N/A</v>
      </c>
      <c r="AH30" s="6">
        <v>3</v>
      </c>
      <c r="AI30" s="6" t="e">
        <f t="shared" si="85"/>
        <v>#N/A</v>
      </c>
      <c r="AJ30" s="6" t="s">
        <v>11</v>
      </c>
      <c r="AK30" s="6" t="str" cm="1">
        <f t="array" aca="1" ref="AK30" ca="1">IFERROR(INDEX(INDEX(INDIRECT($A$2&amp;$AI30,TRUE),0),AK$2),"")</f>
        <v/>
      </c>
      <c r="AL30" s="6" t="str" cm="1">
        <f t="array" aca="1" ref="AL30" ca="1">IFERROR(INDEX(INDEX(INDIRECT($A$2&amp;$AI30,TRUE),0),AL$2),"")</f>
        <v/>
      </c>
      <c r="AM30" s="6" t="str" cm="1">
        <f t="array" aca="1" ref="AM30" ca="1">IFERROR(INDEX(INDEX(INDIRECT($A$2&amp;$AI30,TRUE),0),AM$2),"")</f>
        <v/>
      </c>
      <c r="AN30" s="6" t="str" cm="1">
        <f t="array" aca="1" ref="AN30" ca="1">IFERROR(INDEX(INDEX(INDIRECT($A$2&amp;$AI30,TRUE),0),AN$2),"")</f>
        <v/>
      </c>
      <c r="AO30" s="6" t="str" cm="1">
        <f t="array" aca="1" ref="AO30" ca="1">IFERROR(INDEX(INDEX(INDIRECT($A$2&amp;$AI30,TRUE),0),AO$2),"")</f>
        <v/>
      </c>
      <c r="AP30" s="6" t="str" cm="1">
        <f t="array" aca="1" ref="AP30" ca="1">IFERROR(INDEX(INDEX(INDIRECT($A$2&amp;$AI30,TRUE),0),AP$2),"")</f>
        <v/>
      </c>
      <c r="AQ30" s="6" t="str" cm="1">
        <f t="array" aca="1" ref="AQ30" ca="1">IFERROR(INDEX(INDEX(INDIRECT($A$2&amp;$AI30,TRUE),0),AQ$2),"")</f>
        <v/>
      </c>
      <c r="AR30" s="6" t="str" cm="1">
        <f t="array" aca="1" ref="AR30" ca="1">IFERROR(INDEX(INDEX(INDIRECT($A$2&amp;$AI30,TRUE),0),AR$2),"")</f>
        <v/>
      </c>
      <c r="AS30" s="6" t="str" cm="1">
        <f t="array" aca="1" ref="AS30" ca="1">IFERROR(INDEX(INDEX(INDIRECT($A$2&amp;$AI30,TRUE),0),AS$2),"")</f>
        <v/>
      </c>
      <c r="AT30" s="6" t="str" cm="1">
        <f t="array" aca="1" ref="AT30" ca="1">IFERROR(INDEX(INDEX(INDIRECT($A$2&amp;$AI30,TRUE),0),AT$2),"")</f>
        <v/>
      </c>
      <c r="AX30" s="11" t="str">
        <f t="shared" ca="1" si="75"/>
        <v/>
      </c>
      <c r="AY30" s="11" t="str">
        <f t="shared" ca="1" si="75"/>
        <v/>
      </c>
      <c r="AZ30" s="11" t="str">
        <f t="shared" ca="1" si="75"/>
        <v/>
      </c>
      <c r="BA30" s="11" t="str">
        <f t="shared" ca="1" si="75"/>
        <v/>
      </c>
      <c r="BB30" s="11" t="str">
        <f t="shared" ca="1" si="75"/>
        <v/>
      </c>
      <c r="BC30" s="11" t="str">
        <f t="shared" ca="1" si="75"/>
        <v/>
      </c>
      <c r="BD30" s="11" t="str">
        <f t="shared" ca="1" si="75"/>
        <v/>
      </c>
      <c r="BE30" s="11" t="str">
        <f t="shared" ca="1" si="84"/>
        <v/>
      </c>
      <c r="BF30" s="11" t="str">
        <f t="shared" ca="1" si="84"/>
        <v/>
      </c>
      <c r="BG30" s="11" t="str">
        <f t="shared" ca="1" si="84"/>
        <v/>
      </c>
      <c r="BH30" s="11" t="str">
        <f t="shared" ca="1" si="84"/>
        <v/>
      </c>
      <c r="BI30" s="11" t="str">
        <f t="shared" ca="1" si="84"/>
        <v/>
      </c>
      <c r="BJ30" s="11" t="str">
        <f t="shared" ca="1" si="84"/>
        <v/>
      </c>
      <c r="BK30" s="11" t="str">
        <f t="shared" ca="1" si="84"/>
        <v/>
      </c>
      <c r="BL30" s="11" t="str">
        <f t="shared" ca="1" si="84"/>
        <v/>
      </c>
      <c r="BM30" s="11" t="str">
        <f t="shared" ca="1" si="84"/>
        <v/>
      </c>
      <c r="BN30" s="11" t="str">
        <f t="shared" ca="1" si="84"/>
        <v/>
      </c>
      <c r="BO30" s="11" t="str">
        <f t="shared" ca="1" si="84"/>
        <v/>
      </c>
      <c r="BP30" s="11" t="str">
        <f t="shared" ca="1" si="84"/>
        <v/>
      </c>
      <c r="BQ30" s="11" t="str">
        <f t="shared" ca="1" si="84"/>
        <v/>
      </c>
      <c r="BR30" s="11" t="str">
        <f t="shared" ca="1" si="84"/>
        <v/>
      </c>
      <c r="BS30" s="11" t="str">
        <f t="shared" ca="1" si="84"/>
        <v/>
      </c>
      <c r="BT30" s="11" t="str">
        <f t="shared" ca="1" si="84"/>
        <v/>
      </c>
      <c r="BU30" s="11" t="str">
        <f t="shared" ca="1" si="84"/>
        <v/>
      </c>
      <c r="BV30" s="11" t="str">
        <f t="shared" ca="1" si="84"/>
        <v/>
      </c>
      <c r="BW30" s="11" t="str">
        <f t="shared" ca="1" si="84"/>
        <v/>
      </c>
      <c r="BX30" s="11" t="str">
        <f t="shared" ca="1" si="84"/>
        <v/>
      </c>
      <c r="BY30" s="11" t="str">
        <f t="shared" ca="1" si="84"/>
        <v/>
      </c>
      <c r="BZ30" s="11" t="str">
        <f t="shared" ca="1" si="84"/>
        <v/>
      </c>
    </row>
    <row r="31" spans="1:78">
      <c r="A31">
        <v>-27</v>
      </c>
      <c r="B31" s="1">
        <f t="shared" si="11"/>
        <v>-27</v>
      </c>
      <c r="C31" s="4" t="e">
        <f>MATCH(B31,テーブル1[日付],0)+1</f>
        <v>#N/A</v>
      </c>
      <c r="D31" t="e">
        <f>ADDRESS(C31,2,4,1)&amp;":"&amp;ADDRESS(C31+COUNTIF(テーブル1[日付],日毎の人員構成・人員別日毎の従事ライン!B31)-1,2,4,1)</f>
        <v>#N/A</v>
      </c>
      <c r="E31" t="e">
        <f>ADDRESS(C31,3,4,1)&amp;":"&amp;ADDRESS($C31+COUNTIF(テーブル1[日付],日毎の人員構成・人員別日毎の従事ライン!B31)-1,3,4,1)</f>
        <v>#N/A</v>
      </c>
      <c r="F31" s="4" t="e">
        <f t="shared" ca="1" si="12"/>
        <v>#N/A</v>
      </c>
      <c r="G31" s="4" t="e">
        <f t="shared" ca="1" si="12"/>
        <v>#N/A</v>
      </c>
      <c r="H31" s="4" t="e">
        <f t="shared" ca="1" si="12"/>
        <v>#N/A</v>
      </c>
      <c r="I31" s="4" t="e">
        <f t="shared" ca="1" si="12"/>
        <v>#N/A</v>
      </c>
      <c r="J31" s="4" t="e">
        <f t="shared" ca="1" si="12"/>
        <v>#N/A</v>
      </c>
      <c r="K31" s="4" t="e">
        <f t="shared" ca="1" si="12"/>
        <v>#N/A</v>
      </c>
      <c r="L31" s="4" t="e">
        <f t="shared" ca="1" si="12"/>
        <v>#N/A</v>
      </c>
      <c r="M31" s="4" t="e">
        <f t="shared" ca="1" si="81"/>
        <v>#N/A</v>
      </c>
      <c r="N31" s="4" t="e">
        <f t="shared" ca="1" si="81"/>
        <v>#N/A</v>
      </c>
      <c r="O31" s="4" t="e">
        <f t="shared" ca="1" si="81"/>
        <v>#N/A</v>
      </c>
      <c r="P31" s="4" t="e">
        <f t="shared" ca="1" si="81"/>
        <v>#N/A</v>
      </c>
      <c r="Q31" s="4" t="e">
        <f t="shared" ca="1" si="12"/>
        <v>#N/A</v>
      </c>
      <c r="R31" s="4" t="e">
        <f t="shared" ca="1" si="80"/>
        <v>#N/A</v>
      </c>
      <c r="S31" s="4" t="e">
        <f t="shared" ca="1" si="80"/>
        <v>#N/A</v>
      </c>
      <c r="T31" t="e">
        <f t="shared" ca="1" si="48"/>
        <v>#N/A</v>
      </c>
      <c r="U31" t="e">
        <f t="shared" ca="1" si="13"/>
        <v>#N/A</v>
      </c>
      <c r="V31" t="e">
        <f t="shared" ca="1" si="14"/>
        <v>#N/A</v>
      </c>
      <c r="W31" t="e">
        <f t="shared" ca="1" si="15"/>
        <v>#N/A</v>
      </c>
      <c r="X31" t="e">
        <f t="shared" ca="1" si="16"/>
        <v>#N/A</v>
      </c>
      <c r="Y31" t="e">
        <f t="shared" ca="1" si="17"/>
        <v>#N/A</v>
      </c>
      <c r="Z31" t="e">
        <f t="shared" ca="1" si="18"/>
        <v>#N/A</v>
      </c>
      <c r="AA31" t="e">
        <f t="shared" ca="1" si="49"/>
        <v>#N/A</v>
      </c>
      <c r="AB31" t="e">
        <f t="shared" ca="1" si="19"/>
        <v>#N/A</v>
      </c>
      <c r="AC31" t="e">
        <f t="shared" ca="1" si="20"/>
        <v>#N/A</v>
      </c>
      <c r="AD31" t="e">
        <f t="shared" ca="1" si="21"/>
        <v>#N/A</v>
      </c>
      <c r="AE31" t="e">
        <f t="shared" ca="1" si="22"/>
        <v>#N/A</v>
      </c>
      <c r="AF31" t="e">
        <f t="shared" ca="1" si="23"/>
        <v>#N/A</v>
      </c>
      <c r="AG31" t="e">
        <f t="shared" ca="1" si="24"/>
        <v>#N/A</v>
      </c>
      <c r="AH31" s="6">
        <v>4</v>
      </c>
      <c r="AI31" s="6" t="e">
        <f t="shared" si="85"/>
        <v>#N/A</v>
      </c>
      <c r="AJ31" s="6" t="s">
        <v>32</v>
      </c>
      <c r="AK31" s="6" t="str" cm="1">
        <f t="array" aca="1" ref="AK31" ca="1">IFERROR(INDEX(INDEX(INDIRECT($A$2&amp;$AI31,TRUE),0),AK$2),"")</f>
        <v/>
      </c>
      <c r="AL31" s="6" t="str" cm="1">
        <f t="array" aca="1" ref="AL31" ca="1">IFERROR(INDEX(INDEX(INDIRECT($A$2&amp;$AI31,TRUE),0),AL$2),"")</f>
        <v/>
      </c>
      <c r="AM31" s="6" t="str" cm="1">
        <f t="array" aca="1" ref="AM31" ca="1">IFERROR(INDEX(INDEX(INDIRECT($A$2&amp;$AI31,TRUE),0),AM$2),"")</f>
        <v/>
      </c>
      <c r="AN31" s="6" t="str" cm="1">
        <f t="array" aca="1" ref="AN31" ca="1">IFERROR(INDEX(INDEX(INDIRECT($A$2&amp;$AI31,TRUE),0),AN$2),"")</f>
        <v/>
      </c>
      <c r="AO31" s="6" t="str" cm="1">
        <f t="array" aca="1" ref="AO31" ca="1">IFERROR(INDEX(INDEX(INDIRECT($A$2&amp;$AI31,TRUE),0),AO$2),"")</f>
        <v/>
      </c>
      <c r="AP31" s="6" t="str" cm="1">
        <f t="array" aca="1" ref="AP31" ca="1">IFERROR(INDEX(INDEX(INDIRECT($A$2&amp;$AI31,TRUE),0),AP$2),"")</f>
        <v/>
      </c>
      <c r="AQ31" s="6" t="str" cm="1">
        <f t="array" aca="1" ref="AQ31" ca="1">IFERROR(INDEX(INDEX(INDIRECT($A$2&amp;$AI31,TRUE),0),AQ$2),"")</f>
        <v/>
      </c>
      <c r="AR31" s="6" t="str" cm="1">
        <f t="array" aca="1" ref="AR31" ca="1">IFERROR(INDEX(INDEX(INDIRECT($A$2&amp;$AI31,TRUE),0),AR$2),"")</f>
        <v/>
      </c>
      <c r="AS31" s="6" t="str" cm="1">
        <f t="array" aca="1" ref="AS31" ca="1">IFERROR(INDEX(INDEX(INDIRECT($A$2&amp;$AI31,TRUE),0),AS$2),"")</f>
        <v/>
      </c>
      <c r="AT31" s="6" t="str" cm="1">
        <f t="array" aca="1" ref="AT31" ca="1">IFERROR(INDEX(INDEX(INDIRECT($A$2&amp;$AI31,TRUE),0),AT$2),"")</f>
        <v/>
      </c>
      <c r="AX31" s="11" t="str">
        <f t="shared" ca="1" si="75"/>
        <v/>
      </c>
      <c r="AY31" s="11" t="str">
        <f t="shared" ca="1" si="75"/>
        <v/>
      </c>
      <c r="AZ31" s="11" t="str">
        <f t="shared" ca="1" si="75"/>
        <v/>
      </c>
      <c r="BA31" s="11" t="str">
        <f t="shared" ca="1" si="75"/>
        <v/>
      </c>
      <c r="BB31" s="11" t="str">
        <f t="shared" ca="1" si="75"/>
        <v/>
      </c>
      <c r="BC31" s="11" t="str">
        <f t="shared" ca="1" si="75"/>
        <v/>
      </c>
      <c r="BD31" s="11" t="str">
        <f t="shared" ca="1" si="75"/>
        <v/>
      </c>
      <c r="BE31" s="11" t="str">
        <f t="shared" ref="BE31:BZ35" ca="1" si="86">IFERROR(INDEX(INDIRECT(BE$1,TRUE),MATCH($AW31,INDIRECT(BE$2,TRUE),0)),"")</f>
        <v/>
      </c>
      <c r="BF31" s="11" t="str">
        <f t="shared" ca="1" si="86"/>
        <v/>
      </c>
      <c r="BG31" s="11" t="str">
        <f t="shared" ca="1" si="86"/>
        <v/>
      </c>
      <c r="BH31" s="11" t="str">
        <f t="shared" ca="1" si="86"/>
        <v/>
      </c>
      <c r="BI31" s="11" t="str">
        <f t="shared" ca="1" si="86"/>
        <v/>
      </c>
      <c r="BJ31" s="11" t="str">
        <f t="shared" ca="1" si="86"/>
        <v/>
      </c>
      <c r="BK31" s="11" t="str">
        <f t="shared" ca="1" si="86"/>
        <v/>
      </c>
      <c r="BL31" s="11" t="str">
        <f t="shared" ca="1" si="86"/>
        <v/>
      </c>
      <c r="BM31" s="11" t="str">
        <f t="shared" ca="1" si="86"/>
        <v/>
      </c>
      <c r="BN31" s="11" t="str">
        <f t="shared" ca="1" si="86"/>
        <v/>
      </c>
      <c r="BO31" s="11" t="str">
        <f t="shared" ca="1" si="86"/>
        <v/>
      </c>
      <c r="BP31" s="11" t="str">
        <f t="shared" ca="1" si="86"/>
        <v/>
      </c>
      <c r="BQ31" s="11" t="str">
        <f t="shared" ca="1" si="86"/>
        <v/>
      </c>
      <c r="BR31" s="11" t="str">
        <f t="shared" ca="1" si="86"/>
        <v/>
      </c>
      <c r="BS31" s="11" t="str">
        <f t="shared" ca="1" si="86"/>
        <v/>
      </c>
      <c r="BT31" s="11" t="str">
        <f t="shared" ca="1" si="86"/>
        <v/>
      </c>
      <c r="BU31" s="11" t="str">
        <f t="shared" ca="1" si="86"/>
        <v/>
      </c>
      <c r="BV31" s="11" t="str">
        <f t="shared" ca="1" si="86"/>
        <v/>
      </c>
      <c r="BW31" s="11" t="str">
        <f t="shared" ca="1" si="86"/>
        <v/>
      </c>
      <c r="BX31" s="11" t="str">
        <f t="shared" ca="1" si="86"/>
        <v/>
      </c>
      <c r="BY31" s="11" t="str">
        <f t="shared" ca="1" si="86"/>
        <v/>
      </c>
      <c r="BZ31" s="11" t="str">
        <f t="shared" ca="1" si="86"/>
        <v/>
      </c>
    </row>
    <row r="32" spans="1:78">
      <c r="A32">
        <v>-28</v>
      </c>
      <c r="B32" s="1">
        <f t="shared" si="11"/>
        <v>-28</v>
      </c>
      <c r="C32" s="4" t="e">
        <f>MATCH(B32,テーブル1[日付],0)+1</f>
        <v>#N/A</v>
      </c>
      <c r="D32" t="e">
        <f>ADDRESS(C32,2,4,1)&amp;":"&amp;ADDRESS(C32+COUNTIF(テーブル1[日付],日毎の人員構成・人員別日毎の従事ライン!B32)-1,2,4,1)</f>
        <v>#N/A</v>
      </c>
      <c r="E32" t="e">
        <f>ADDRESS(C32,3,4,1)&amp;":"&amp;ADDRESS($C32+COUNTIF(テーブル1[日付],日毎の人員構成・人員別日毎の従事ライン!B32)-1,3,4,1)</f>
        <v>#N/A</v>
      </c>
      <c r="F32" s="4" t="e">
        <f t="shared" ca="1" si="12"/>
        <v>#N/A</v>
      </c>
      <c r="G32" s="4" t="e">
        <f t="shared" ca="1" si="12"/>
        <v>#N/A</v>
      </c>
      <c r="H32" s="4" t="e">
        <f t="shared" ca="1" si="12"/>
        <v>#N/A</v>
      </c>
      <c r="I32" s="4" t="e">
        <f t="shared" ca="1" si="12"/>
        <v>#N/A</v>
      </c>
      <c r="J32" s="4" t="e">
        <f t="shared" ca="1" si="12"/>
        <v>#N/A</v>
      </c>
      <c r="K32" s="4" t="e">
        <f t="shared" ca="1" si="12"/>
        <v>#N/A</v>
      </c>
      <c r="L32" s="4" t="e">
        <f t="shared" ca="1" si="12"/>
        <v>#N/A</v>
      </c>
      <c r="M32" s="4" t="e">
        <f t="shared" ca="1" si="81"/>
        <v>#N/A</v>
      </c>
      <c r="N32" s="4" t="e">
        <f t="shared" ca="1" si="81"/>
        <v>#N/A</v>
      </c>
      <c r="O32" s="4" t="e">
        <f t="shared" ca="1" si="81"/>
        <v>#N/A</v>
      </c>
      <c r="P32" s="4" t="e">
        <f t="shared" ca="1" si="81"/>
        <v>#N/A</v>
      </c>
      <c r="Q32" s="4" t="e">
        <f t="shared" ca="1" si="12"/>
        <v>#N/A</v>
      </c>
      <c r="R32" s="4" t="e">
        <f t="shared" ca="1" si="80"/>
        <v>#N/A</v>
      </c>
      <c r="S32" s="4" t="e">
        <f t="shared" ca="1" si="80"/>
        <v>#N/A</v>
      </c>
      <c r="T32" t="e">
        <f t="shared" ca="1" si="48"/>
        <v>#N/A</v>
      </c>
      <c r="U32" t="e">
        <f t="shared" ca="1" si="13"/>
        <v>#N/A</v>
      </c>
      <c r="V32" t="e">
        <f t="shared" ca="1" si="14"/>
        <v>#N/A</v>
      </c>
      <c r="W32" t="e">
        <f t="shared" ca="1" si="15"/>
        <v>#N/A</v>
      </c>
      <c r="X32" t="e">
        <f t="shared" ca="1" si="16"/>
        <v>#N/A</v>
      </c>
      <c r="Y32" t="e">
        <f t="shared" ca="1" si="17"/>
        <v>#N/A</v>
      </c>
      <c r="Z32" t="e">
        <f t="shared" ca="1" si="18"/>
        <v>#N/A</v>
      </c>
      <c r="AA32" t="e">
        <f t="shared" ca="1" si="49"/>
        <v>#N/A</v>
      </c>
      <c r="AB32" t="e">
        <f t="shared" ca="1" si="19"/>
        <v>#N/A</v>
      </c>
      <c r="AC32" t="e">
        <f t="shared" ca="1" si="20"/>
        <v>#N/A</v>
      </c>
      <c r="AD32" t="e">
        <f t="shared" ca="1" si="21"/>
        <v>#N/A</v>
      </c>
      <c r="AE32" t="e">
        <f t="shared" ca="1" si="22"/>
        <v>#N/A</v>
      </c>
      <c r="AF32" t="e">
        <f t="shared" ca="1" si="23"/>
        <v>#N/A</v>
      </c>
      <c r="AG32" t="e">
        <f t="shared" ca="1" si="24"/>
        <v>#N/A</v>
      </c>
      <c r="AH32" s="6">
        <v>5</v>
      </c>
      <c r="AI32" s="6" t="e">
        <f t="shared" si="85"/>
        <v>#N/A</v>
      </c>
      <c r="AJ32" s="6" t="s">
        <v>37</v>
      </c>
      <c r="AK32" s="6" t="str" cm="1">
        <f t="array" aca="1" ref="AK32" ca="1">IFERROR(INDEX(INDEX(INDIRECT($A$2&amp;$AI32,TRUE),0),AK$2),"")</f>
        <v/>
      </c>
      <c r="AL32" s="6" t="str" cm="1">
        <f t="array" aca="1" ref="AL32" ca="1">IFERROR(INDEX(INDEX(INDIRECT($A$2&amp;$AI32,TRUE),0),AL$2),"")</f>
        <v/>
      </c>
      <c r="AM32" s="6" t="str" cm="1">
        <f t="array" aca="1" ref="AM32" ca="1">IFERROR(INDEX(INDEX(INDIRECT($A$2&amp;$AI32,TRUE),0),AM$2),"")</f>
        <v/>
      </c>
      <c r="AN32" s="6" t="str" cm="1">
        <f t="array" aca="1" ref="AN32" ca="1">IFERROR(INDEX(INDEX(INDIRECT($A$2&amp;$AI32,TRUE),0),AN$2),"")</f>
        <v/>
      </c>
      <c r="AO32" s="6" t="str" cm="1">
        <f t="array" aca="1" ref="AO32" ca="1">IFERROR(INDEX(INDEX(INDIRECT($A$2&amp;$AI32,TRUE),0),AO$2),"")</f>
        <v/>
      </c>
      <c r="AP32" s="6" t="str" cm="1">
        <f t="array" aca="1" ref="AP32" ca="1">IFERROR(INDEX(INDEX(INDIRECT($A$2&amp;$AI32,TRUE),0),AP$2),"")</f>
        <v/>
      </c>
      <c r="AQ32" s="6" t="str" cm="1">
        <f t="array" aca="1" ref="AQ32" ca="1">IFERROR(INDEX(INDEX(INDIRECT($A$2&amp;$AI32,TRUE),0),AQ$2),"")</f>
        <v/>
      </c>
      <c r="AR32" s="6" t="str" cm="1">
        <f t="array" aca="1" ref="AR32" ca="1">IFERROR(INDEX(INDEX(INDIRECT($A$2&amp;$AI32,TRUE),0),AR$2),"")</f>
        <v/>
      </c>
      <c r="AS32" s="6" t="str" cm="1">
        <f t="array" aca="1" ref="AS32" ca="1">IFERROR(INDEX(INDEX(INDIRECT($A$2&amp;$AI32,TRUE),0),AS$2),"")</f>
        <v/>
      </c>
      <c r="AT32" s="6" t="str" cm="1">
        <f t="array" aca="1" ref="AT32" ca="1">IFERROR(INDEX(INDEX(INDIRECT($A$2&amp;$AI32,TRUE),0),AT$2),"")</f>
        <v/>
      </c>
      <c r="AX32" s="11" t="str">
        <f t="shared" ca="1" si="75"/>
        <v/>
      </c>
      <c r="AY32" s="11" t="str">
        <f t="shared" ca="1" si="75"/>
        <v/>
      </c>
      <c r="AZ32" s="11" t="str">
        <f t="shared" ca="1" si="75"/>
        <v/>
      </c>
      <c r="BA32" s="11" t="str">
        <f t="shared" ca="1" si="75"/>
        <v/>
      </c>
      <c r="BB32" s="11" t="str">
        <f t="shared" ca="1" si="75"/>
        <v/>
      </c>
      <c r="BC32" s="11" t="str">
        <f t="shared" ca="1" si="75"/>
        <v/>
      </c>
      <c r="BD32" s="11" t="str">
        <f t="shared" ca="1" si="75"/>
        <v/>
      </c>
      <c r="BE32" s="11" t="str">
        <f t="shared" ca="1" si="86"/>
        <v/>
      </c>
      <c r="BF32" s="11" t="str">
        <f t="shared" ca="1" si="86"/>
        <v/>
      </c>
      <c r="BG32" s="11" t="str">
        <f t="shared" ca="1" si="86"/>
        <v/>
      </c>
      <c r="BH32" s="11" t="str">
        <f t="shared" ca="1" si="86"/>
        <v/>
      </c>
      <c r="BI32" s="11" t="str">
        <f t="shared" ca="1" si="86"/>
        <v/>
      </c>
      <c r="BJ32" s="11" t="str">
        <f t="shared" ca="1" si="86"/>
        <v/>
      </c>
      <c r="BK32" s="11" t="str">
        <f t="shared" ca="1" si="86"/>
        <v/>
      </c>
      <c r="BL32" s="11" t="str">
        <f t="shared" ca="1" si="86"/>
        <v/>
      </c>
      <c r="BM32" s="11" t="str">
        <f t="shared" ca="1" si="86"/>
        <v/>
      </c>
      <c r="BN32" s="11" t="str">
        <f t="shared" ca="1" si="86"/>
        <v/>
      </c>
      <c r="BO32" s="11" t="str">
        <f t="shared" ca="1" si="86"/>
        <v/>
      </c>
      <c r="BP32" s="11" t="str">
        <f t="shared" ca="1" si="86"/>
        <v/>
      </c>
      <c r="BQ32" s="11" t="str">
        <f t="shared" ca="1" si="86"/>
        <v/>
      </c>
      <c r="BR32" s="11" t="str">
        <f t="shared" ca="1" si="86"/>
        <v/>
      </c>
      <c r="BS32" s="11" t="str">
        <f t="shared" ca="1" si="86"/>
        <v/>
      </c>
      <c r="BT32" s="11" t="str">
        <f t="shared" ca="1" si="86"/>
        <v/>
      </c>
      <c r="BU32" s="11" t="str">
        <f t="shared" ca="1" si="86"/>
        <v/>
      </c>
      <c r="BV32" s="11" t="str">
        <f t="shared" ca="1" si="86"/>
        <v/>
      </c>
      <c r="BW32" s="11" t="str">
        <f t="shared" ca="1" si="86"/>
        <v/>
      </c>
      <c r="BX32" s="11" t="str">
        <f t="shared" ca="1" si="86"/>
        <v/>
      </c>
      <c r="BY32" s="11" t="str">
        <f t="shared" ca="1" si="86"/>
        <v/>
      </c>
      <c r="BZ32" s="11" t="str">
        <f t="shared" ca="1" si="86"/>
        <v/>
      </c>
    </row>
    <row r="33" spans="1:78">
      <c r="A33">
        <v>-29</v>
      </c>
      <c r="B33" s="1">
        <f t="shared" si="11"/>
        <v>-29</v>
      </c>
      <c r="C33" s="4" t="e">
        <f>MATCH(B33,テーブル1[日付],0)+1</f>
        <v>#N/A</v>
      </c>
      <c r="E33" t="e">
        <f>ADDRESS(C33,3,4,1)&amp;":"&amp;ADDRESS($C33+COUNTIF(テーブル1[日付],日毎の人員構成・人員別日毎の従事ライン!B33)-1,3,4,1)</f>
        <v>#N/A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 t="e">
        <f t="shared" ca="1" si="80"/>
        <v>#REF!</v>
      </c>
      <c r="S33" s="4" t="e">
        <f t="shared" ca="1" si="80"/>
        <v>#REF!</v>
      </c>
      <c r="AF33" t="e">
        <f t="shared" ca="1" si="23"/>
        <v>#REF!</v>
      </c>
      <c r="AG33" t="e">
        <f t="shared" ca="1" si="24"/>
        <v>#REF!</v>
      </c>
      <c r="AH33" s="6">
        <v>6</v>
      </c>
      <c r="AI33" s="6" t="e">
        <f t="shared" si="85"/>
        <v>#N/A</v>
      </c>
      <c r="AJ33" s="6" t="s">
        <v>41</v>
      </c>
      <c r="AK33" s="6" t="str" cm="1">
        <f t="array" aca="1" ref="AK33" ca="1">IFERROR(INDEX(INDEX(INDIRECT($A$2&amp;$AI33,TRUE),0),AK$2),"")</f>
        <v/>
      </c>
      <c r="AL33" s="6" t="str" cm="1">
        <f t="array" aca="1" ref="AL33" ca="1">IFERROR(INDEX(INDEX(INDIRECT($A$2&amp;$AI33,TRUE),0),AL$2),"")</f>
        <v/>
      </c>
      <c r="AM33" s="6" t="str" cm="1">
        <f t="array" aca="1" ref="AM33" ca="1">IFERROR(INDEX(INDEX(INDIRECT($A$2&amp;$AI33,TRUE),0),AM$2),"")</f>
        <v/>
      </c>
      <c r="AN33" s="6" t="str" cm="1">
        <f t="array" aca="1" ref="AN33" ca="1">IFERROR(INDEX(INDEX(INDIRECT($A$2&amp;$AI33,TRUE),0),AN$2),"")</f>
        <v/>
      </c>
      <c r="AO33" s="6" t="str" cm="1">
        <f t="array" aca="1" ref="AO33" ca="1">IFERROR(INDEX(INDEX(INDIRECT($A$2&amp;$AI33,TRUE),0),AO$2),"")</f>
        <v/>
      </c>
      <c r="AP33" s="6" t="str" cm="1">
        <f t="array" aca="1" ref="AP33" ca="1">IFERROR(INDEX(INDEX(INDIRECT($A$2&amp;$AI33,TRUE),0),AP$2),"")</f>
        <v/>
      </c>
      <c r="AQ33" s="6" t="str" cm="1">
        <f t="array" aca="1" ref="AQ33" ca="1">IFERROR(INDEX(INDEX(INDIRECT($A$2&amp;$AI33,TRUE),0),AQ$2),"")</f>
        <v/>
      </c>
      <c r="AR33" s="6" t="str" cm="1">
        <f t="array" aca="1" ref="AR33" ca="1">IFERROR(INDEX(INDEX(INDIRECT($A$2&amp;$AI33,TRUE),0),AR$2),"")</f>
        <v/>
      </c>
      <c r="AS33" s="6" t="str" cm="1">
        <f t="array" aca="1" ref="AS33" ca="1">IFERROR(INDEX(INDEX(INDIRECT($A$2&amp;$AI33,TRUE),0),AS$2),"")</f>
        <v/>
      </c>
      <c r="AT33" s="6" t="str" cm="1">
        <f t="array" aca="1" ref="AT33" ca="1">IFERROR(INDEX(INDEX(INDIRECT($A$2&amp;$AI33,TRUE),0),AT$2),"")</f>
        <v/>
      </c>
      <c r="AX33" s="11" t="str">
        <f t="shared" ca="1" si="75"/>
        <v/>
      </c>
      <c r="AY33" s="11" t="str">
        <f t="shared" ca="1" si="75"/>
        <v/>
      </c>
      <c r="AZ33" s="11" t="str">
        <f t="shared" ca="1" si="75"/>
        <v/>
      </c>
      <c r="BA33" s="11" t="str">
        <f t="shared" ca="1" si="75"/>
        <v/>
      </c>
      <c r="BB33" s="11" t="str">
        <f t="shared" ca="1" si="75"/>
        <v/>
      </c>
      <c r="BC33" s="11" t="str">
        <f t="shared" ca="1" si="75"/>
        <v/>
      </c>
      <c r="BD33" s="11" t="str">
        <f t="shared" ca="1" si="75"/>
        <v/>
      </c>
      <c r="BE33" s="11" t="str">
        <f t="shared" ca="1" si="86"/>
        <v/>
      </c>
      <c r="BF33" s="11" t="str">
        <f t="shared" ca="1" si="86"/>
        <v/>
      </c>
      <c r="BG33" s="11" t="str">
        <f t="shared" ca="1" si="86"/>
        <v/>
      </c>
      <c r="BH33" s="11" t="str">
        <f t="shared" ca="1" si="86"/>
        <v/>
      </c>
      <c r="BI33" s="11" t="str">
        <f t="shared" ca="1" si="86"/>
        <v/>
      </c>
      <c r="BJ33" s="11" t="str">
        <f t="shared" ca="1" si="86"/>
        <v/>
      </c>
      <c r="BK33" s="11" t="str">
        <f t="shared" ca="1" si="86"/>
        <v/>
      </c>
      <c r="BL33" s="11" t="str">
        <f t="shared" ca="1" si="86"/>
        <v/>
      </c>
      <c r="BM33" s="11" t="str">
        <f t="shared" ca="1" si="86"/>
        <v/>
      </c>
      <c r="BN33" s="11" t="str">
        <f t="shared" ca="1" si="86"/>
        <v/>
      </c>
      <c r="BO33" s="11" t="str">
        <f t="shared" ca="1" si="86"/>
        <v/>
      </c>
      <c r="BP33" s="11" t="str">
        <f t="shared" ca="1" si="86"/>
        <v/>
      </c>
      <c r="BQ33" s="11" t="str">
        <f t="shared" ca="1" si="86"/>
        <v/>
      </c>
      <c r="BR33" s="11" t="str">
        <f t="shared" ca="1" si="86"/>
        <v/>
      </c>
      <c r="BS33" s="11" t="str">
        <f t="shared" ca="1" si="86"/>
        <v/>
      </c>
      <c r="BT33" s="11" t="str">
        <f t="shared" ca="1" si="86"/>
        <v/>
      </c>
      <c r="BU33" s="11" t="str">
        <f t="shared" ca="1" si="86"/>
        <v/>
      </c>
      <c r="BV33" s="11" t="str">
        <f t="shared" ca="1" si="86"/>
        <v/>
      </c>
      <c r="BW33" s="11" t="str">
        <f t="shared" ca="1" si="86"/>
        <v/>
      </c>
      <c r="BX33" s="11" t="str">
        <f t="shared" ca="1" si="86"/>
        <v/>
      </c>
      <c r="BY33" s="11" t="str">
        <f t="shared" ca="1" si="86"/>
        <v/>
      </c>
      <c r="BZ33" s="11" t="str">
        <f t="shared" ca="1" si="86"/>
        <v/>
      </c>
    </row>
    <row r="34" spans="1:78">
      <c r="B34" s="1"/>
      <c r="D34" s="1"/>
      <c r="E34" s="1"/>
      <c r="L34" s="4"/>
      <c r="M34" s="4"/>
      <c r="N34" s="4"/>
      <c r="O34" s="4"/>
      <c r="P34" s="4"/>
      <c r="Q34" s="4"/>
      <c r="R34" s="4" t="e">
        <f t="shared" ca="1" si="80"/>
        <v>#REF!</v>
      </c>
      <c r="S34" s="4" t="e">
        <f t="shared" ca="1" si="80"/>
        <v>#REF!</v>
      </c>
      <c r="AF34" t="e">
        <f t="shared" ca="1" si="23"/>
        <v>#REF!</v>
      </c>
      <c r="AG34" t="e">
        <f t="shared" ca="1" si="24"/>
        <v>#REF!</v>
      </c>
      <c r="AI34" t="s">
        <v>63</v>
      </c>
      <c r="AJ34" s="8">
        <f>AJ27-1</f>
        <v>-4</v>
      </c>
      <c r="AK34" s="9" t="e">
        <f>" ("&amp;CHOOSE(WEEKDAY(AJ34,1),"日","月","火","水","木","金","土")&amp;")"</f>
        <v>#NUM!</v>
      </c>
      <c r="AL34" s="10"/>
      <c r="AM34" s="10"/>
      <c r="AN34" s="10"/>
      <c r="AO34" s="10"/>
      <c r="AP34" s="10"/>
      <c r="AQ34" s="10"/>
      <c r="AR34" s="10"/>
      <c r="AS34" s="10"/>
      <c r="AT34" s="10"/>
      <c r="AX34" s="11" t="str">
        <f t="shared" ca="1" si="75"/>
        <v/>
      </c>
      <c r="AY34" s="11" t="str">
        <f t="shared" ca="1" si="75"/>
        <v/>
      </c>
      <c r="AZ34" s="11" t="str">
        <f t="shared" ca="1" si="75"/>
        <v/>
      </c>
      <c r="BA34" s="11" t="str">
        <f t="shared" ca="1" si="75"/>
        <v/>
      </c>
      <c r="BB34" s="11" t="str">
        <f t="shared" ca="1" si="75"/>
        <v/>
      </c>
      <c r="BC34" s="11" t="str">
        <f t="shared" ca="1" si="75"/>
        <v/>
      </c>
      <c r="BD34" s="11" t="str">
        <f t="shared" ca="1" si="75"/>
        <v/>
      </c>
      <c r="BE34" s="11" t="str">
        <f t="shared" ca="1" si="86"/>
        <v/>
      </c>
      <c r="BF34" s="11" t="str">
        <f t="shared" ca="1" si="86"/>
        <v/>
      </c>
      <c r="BG34" s="11" t="str">
        <f t="shared" ca="1" si="86"/>
        <v/>
      </c>
      <c r="BH34" s="11" t="str">
        <f t="shared" ca="1" si="86"/>
        <v/>
      </c>
      <c r="BI34" s="11" t="str">
        <f t="shared" ca="1" si="86"/>
        <v/>
      </c>
      <c r="BJ34" s="11" t="str">
        <f t="shared" ca="1" si="86"/>
        <v/>
      </c>
      <c r="BK34" s="11" t="str">
        <f t="shared" ca="1" si="86"/>
        <v/>
      </c>
      <c r="BL34" s="11" t="str">
        <f t="shared" ca="1" si="86"/>
        <v/>
      </c>
      <c r="BM34" s="11" t="str">
        <f t="shared" ca="1" si="86"/>
        <v/>
      </c>
      <c r="BN34" s="11" t="str">
        <f t="shared" ca="1" si="86"/>
        <v/>
      </c>
      <c r="BO34" s="11" t="str">
        <f t="shared" ca="1" si="86"/>
        <v/>
      </c>
      <c r="BP34" s="11" t="str">
        <f t="shared" ca="1" si="86"/>
        <v/>
      </c>
      <c r="BQ34" s="11" t="str">
        <f t="shared" ca="1" si="86"/>
        <v/>
      </c>
      <c r="BR34" s="11" t="str">
        <f t="shared" ca="1" si="86"/>
        <v/>
      </c>
      <c r="BS34" s="11" t="str">
        <f t="shared" ca="1" si="86"/>
        <v/>
      </c>
      <c r="BT34" s="11" t="str">
        <f t="shared" ca="1" si="86"/>
        <v/>
      </c>
      <c r="BU34" s="11" t="str">
        <f t="shared" ca="1" si="86"/>
        <v/>
      </c>
      <c r="BV34" s="11" t="str">
        <f t="shared" ca="1" si="86"/>
        <v/>
      </c>
      <c r="BW34" s="11" t="str">
        <f t="shared" ca="1" si="86"/>
        <v/>
      </c>
      <c r="BX34" s="11" t="str">
        <f t="shared" ca="1" si="86"/>
        <v/>
      </c>
      <c r="BY34" s="11" t="str">
        <f t="shared" ca="1" si="86"/>
        <v/>
      </c>
      <c r="BZ34" s="11" t="str">
        <f t="shared" ca="1" si="86"/>
        <v/>
      </c>
    </row>
    <row r="35" spans="1:78">
      <c r="D35" s="1"/>
      <c r="E35" s="1"/>
      <c r="R35" s="4" t="e">
        <f t="shared" ca="1" si="80"/>
        <v>#REF!</v>
      </c>
      <c r="S35" s="4" t="e">
        <f t="shared" ca="1" si="80"/>
        <v>#REF!</v>
      </c>
      <c r="AF35" t="e">
        <f t="shared" ca="1" si="23"/>
        <v>#REF!</v>
      </c>
      <c r="AG35" t="e">
        <f t="shared" ca="1" si="24"/>
        <v>#REF!</v>
      </c>
      <c r="AH35" s="6">
        <v>1</v>
      </c>
      <c r="AI35" s="6" t="e">
        <f>INDEX($T$4:$AE$32,MATCH($AJ$34,$B$4:$B$34,0),MATCH($AJ35,$T$3:$AE$3,0))</f>
        <v>#N/A</v>
      </c>
      <c r="AJ35" s="6" t="s">
        <v>19</v>
      </c>
      <c r="AK35" s="6" t="str" cm="1">
        <f t="array" aca="1" ref="AK35" ca="1">IFERROR(INDEX(INDEX(INDIRECT($A$2&amp;$AI35,TRUE),0),AK$2),"")</f>
        <v/>
      </c>
      <c r="AL35" s="6" t="str" cm="1">
        <f t="array" aca="1" ref="AL35" ca="1">IFERROR(INDEX(INDEX(INDIRECT($A$2&amp;$AI35,TRUE),0),AL$2),"")</f>
        <v/>
      </c>
      <c r="AM35" s="6" t="str" cm="1">
        <f t="array" aca="1" ref="AM35" ca="1">IFERROR(INDEX(INDEX(INDIRECT($A$2&amp;$AI35,TRUE),0),AM$2),"")</f>
        <v/>
      </c>
      <c r="AN35" s="6" t="str" cm="1">
        <f t="array" aca="1" ref="AN35" ca="1">IFERROR(INDEX(INDEX(INDIRECT($A$2&amp;$AI35,TRUE),0),AN$2),"")</f>
        <v/>
      </c>
      <c r="AO35" s="6" t="str" cm="1">
        <f t="array" aca="1" ref="AO35" ca="1">IFERROR(INDEX(INDEX(INDIRECT($A$2&amp;$AI35,TRUE),0),AO$2),"")</f>
        <v/>
      </c>
      <c r="AP35" s="6" t="str" cm="1">
        <f t="array" aca="1" ref="AP35" ca="1">IFERROR(INDEX(INDEX(INDIRECT($A$2&amp;$AI35,TRUE),0),AP$2),"")</f>
        <v/>
      </c>
      <c r="AQ35" s="6" t="str" cm="1">
        <f t="array" aca="1" ref="AQ35" ca="1">IFERROR(INDEX(INDEX(INDIRECT($A$2&amp;$AI35,TRUE),0),AQ$2),"")</f>
        <v/>
      </c>
      <c r="AR35" s="6" t="str" cm="1">
        <f t="array" aca="1" ref="AR35" ca="1">IFERROR(INDEX(INDEX(INDIRECT($A$2&amp;$AI35,TRUE),0),AR$2),"")</f>
        <v/>
      </c>
      <c r="AS35" s="6" t="str" cm="1">
        <f t="array" aca="1" ref="AS35" ca="1">IFERROR(INDEX(INDEX(INDIRECT($A$2&amp;$AI35,TRUE),0),AS$2),"")</f>
        <v/>
      </c>
      <c r="AT35" s="6" t="str" cm="1">
        <f t="array" aca="1" ref="AT35" ca="1">IFERROR(INDEX(INDEX(INDIRECT($A$2&amp;$AI35,TRUE),0),AT$2),"")</f>
        <v/>
      </c>
      <c r="AX35" s="11" t="str">
        <f t="shared" ca="1" si="75"/>
        <v/>
      </c>
      <c r="AY35" s="11" t="str">
        <f t="shared" ca="1" si="75"/>
        <v/>
      </c>
      <c r="AZ35" s="11" t="str">
        <f t="shared" ca="1" si="75"/>
        <v/>
      </c>
      <c r="BA35" s="11" t="str">
        <f t="shared" ca="1" si="75"/>
        <v/>
      </c>
      <c r="BB35" s="11" t="str">
        <f t="shared" ca="1" si="75"/>
        <v/>
      </c>
      <c r="BC35" s="11" t="str">
        <f t="shared" ca="1" si="75"/>
        <v/>
      </c>
      <c r="BD35" s="11" t="str">
        <f t="shared" ca="1" si="75"/>
        <v/>
      </c>
      <c r="BE35" s="11" t="str">
        <f t="shared" ca="1" si="86"/>
        <v/>
      </c>
      <c r="BF35" s="11" t="str">
        <f t="shared" ca="1" si="86"/>
        <v/>
      </c>
      <c r="BG35" s="11" t="str">
        <f t="shared" ca="1" si="86"/>
        <v/>
      </c>
      <c r="BH35" s="11" t="str">
        <f t="shared" ca="1" si="86"/>
        <v/>
      </c>
      <c r="BI35" s="11" t="str">
        <f t="shared" ca="1" si="86"/>
        <v/>
      </c>
      <c r="BJ35" s="11" t="str">
        <f t="shared" ca="1" si="86"/>
        <v/>
      </c>
      <c r="BK35" s="11" t="str">
        <f t="shared" ca="1" si="86"/>
        <v/>
      </c>
      <c r="BL35" s="11" t="str">
        <f t="shared" ca="1" si="86"/>
        <v/>
      </c>
      <c r="BM35" s="11" t="str">
        <f t="shared" ca="1" si="86"/>
        <v/>
      </c>
      <c r="BN35" s="11" t="str">
        <f t="shared" ref="BE35:BZ39" ca="1" si="87">IFERROR(INDEX(INDIRECT(BN$1,TRUE),MATCH($AW35,INDIRECT(BN$2,TRUE),0)),"")</f>
        <v/>
      </c>
      <c r="BO35" s="11" t="str">
        <f t="shared" ca="1" si="87"/>
        <v/>
      </c>
      <c r="BP35" s="11" t="str">
        <f t="shared" ca="1" si="87"/>
        <v/>
      </c>
      <c r="BQ35" s="11" t="str">
        <f t="shared" ca="1" si="87"/>
        <v/>
      </c>
      <c r="BR35" s="11" t="str">
        <f t="shared" ca="1" si="87"/>
        <v/>
      </c>
      <c r="BS35" s="11" t="str">
        <f t="shared" ca="1" si="87"/>
        <v/>
      </c>
      <c r="BT35" s="11" t="str">
        <f t="shared" ca="1" si="87"/>
        <v/>
      </c>
      <c r="BU35" s="11" t="str">
        <f t="shared" ca="1" si="87"/>
        <v/>
      </c>
      <c r="BV35" s="11" t="str">
        <f t="shared" ca="1" si="87"/>
        <v/>
      </c>
      <c r="BW35" s="11" t="str">
        <f t="shared" ca="1" si="87"/>
        <v/>
      </c>
      <c r="BX35" s="11" t="str">
        <f t="shared" ca="1" si="87"/>
        <v/>
      </c>
      <c r="BY35" s="11" t="str">
        <f t="shared" ca="1" si="87"/>
        <v/>
      </c>
      <c r="BZ35" s="11" t="str">
        <f t="shared" ca="1" si="87"/>
        <v/>
      </c>
    </row>
    <row r="36" spans="1:78">
      <c r="R36" s="4" t="e">
        <f t="shared" ca="1" si="80"/>
        <v>#REF!</v>
      </c>
      <c r="S36" s="4" t="e">
        <f t="shared" ca="1" si="80"/>
        <v>#REF!</v>
      </c>
      <c r="AF36" t="e">
        <f t="shared" ca="1" si="23"/>
        <v>#REF!</v>
      </c>
      <c r="AG36" t="e">
        <f t="shared" ca="1" si="24"/>
        <v>#REF!</v>
      </c>
      <c r="AH36" s="6">
        <v>2</v>
      </c>
      <c r="AI36" s="6" t="e">
        <f t="shared" ref="AI36:AI40" si="88">INDEX($T$4:$AE$32,MATCH($AJ$34,$B$4:$B$34,0),MATCH($AJ36,$T$3:$AE$3,0))</f>
        <v>#N/A</v>
      </c>
      <c r="AJ36" s="6" t="s">
        <v>24</v>
      </c>
      <c r="AK36" s="6" t="str" cm="1">
        <f t="array" aca="1" ref="AK36" ca="1">IFERROR(INDEX(INDEX(INDIRECT($A$2&amp;$AI36,TRUE),0),AK$2),"")</f>
        <v/>
      </c>
      <c r="AL36" s="6" t="str" cm="1">
        <f t="array" aca="1" ref="AL36" ca="1">IFERROR(INDEX(INDEX(INDIRECT($A$2&amp;$AI36,TRUE),0),AL$2),"")</f>
        <v/>
      </c>
      <c r="AM36" s="6" t="str" cm="1">
        <f t="array" aca="1" ref="AM36" ca="1">IFERROR(INDEX(INDEX(INDIRECT($A$2&amp;$AI36,TRUE),0),AM$2),"")</f>
        <v/>
      </c>
      <c r="AN36" s="6" t="str" cm="1">
        <f t="array" aca="1" ref="AN36" ca="1">IFERROR(INDEX(INDEX(INDIRECT($A$2&amp;$AI36,TRUE),0),AN$2),"")</f>
        <v/>
      </c>
      <c r="AO36" s="6" t="str" cm="1">
        <f t="array" aca="1" ref="AO36" ca="1">IFERROR(INDEX(INDEX(INDIRECT($A$2&amp;$AI36,TRUE),0),AO$2),"")</f>
        <v/>
      </c>
      <c r="AP36" s="6" t="str" cm="1">
        <f t="array" aca="1" ref="AP36" ca="1">IFERROR(INDEX(INDEX(INDIRECT($A$2&amp;$AI36,TRUE),0),AP$2),"")</f>
        <v/>
      </c>
      <c r="AQ36" s="6" t="str" cm="1">
        <f t="array" aca="1" ref="AQ36" ca="1">IFERROR(INDEX(INDEX(INDIRECT($A$2&amp;$AI36,TRUE),0),AQ$2),"")</f>
        <v/>
      </c>
      <c r="AR36" s="6" t="str" cm="1">
        <f t="array" aca="1" ref="AR36" ca="1">IFERROR(INDEX(INDEX(INDIRECT($A$2&amp;$AI36,TRUE),0),AR$2),"")</f>
        <v/>
      </c>
      <c r="AS36" s="6" t="str" cm="1">
        <f t="array" aca="1" ref="AS36" ca="1">IFERROR(INDEX(INDEX(INDIRECT($A$2&amp;$AI36,TRUE),0),AS$2),"")</f>
        <v/>
      </c>
      <c r="AT36" s="6" t="str" cm="1">
        <f t="array" aca="1" ref="AT36" ca="1">IFERROR(INDEX(INDEX(INDIRECT($A$2&amp;$AI36,TRUE),0),AT$2),"")</f>
        <v/>
      </c>
      <c r="AX36" s="11" t="str">
        <f t="shared" ca="1" si="75"/>
        <v/>
      </c>
      <c r="AY36" s="11" t="str">
        <f t="shared" ca="1" si="75"/>
        <v/>
      </c>
      <c r="AZ36" s="11" t="str">
        <f t="shared" ca="1" si="75"/>
        <v/>
      </c>
      <c r="BA36" s="11" t="str">
        <f t="shared" ca="1" si="75"/>
        <v/>
      </c>
      <c r="BB36" s="11" t="str">
        <f t="shared" ca="1" si="75"/>
        <v/>
      </c>
      <c r="BC36" s="11" t="str">
        <f t="shared" ca="1" si="75"/>
        <v/>
      </c>
      <c r="BD36" s="11" t="str">
        <f t="shared" ca="1" si="75"/>
        <v/>
      </c>
      <c r="BE36" s="11" t="str">
        <f t="shared" ca="1" si="87"/>
        <v/>
      </c>
      <c r="BF36" s="11" t="str">
        <f t="shared" ca="1" si="87"/>
        <v/>
      </c>
      <c r="BG36" s="11" t="str">
        <f t="shared" ca="1" si="87"/>
        <v/>
      </c>
      <c r="BH36" s="11" t="str">
        <f t="shared" ca="1" si="87"/>
        <v/>
      </c>
      <c r="BI36" s="11" t="str">
        <f t="shared" ca="1" si="87"/>
        <v/>
      </c>
      <c r="BJ36" s="11" t="str">
        <f t="shared" ca="1" si="87"/>
        <v/>
      </c>
      <c r="BK36" s="11" t="str">
        <f t="shared" ca="1" si="87"/>
        <v/>
      </c>
      <c r="BL36" s="11" t="str">
        <f t="shared" ca="1" si="87"/>
        <v/>
      </c>
      <c r="BM36" s="11" t="str">
        <f t="shared" ca="1" si="87"/>
        <v/>
      </c>
      <c r="BN36" s="11" t="str">
        <f t="shared" ca="1" si="87"/>
        <v/>
      </c>
      <c r="BO36" s="11" t="str">
        <f t="shared" ca="1" si="87"/>
        <v/>
      </c>
      <c r="BP36" s="11" t="str">
        <f t="shared" ca="1" si="87"/>
        <v/>
      </c>
      <c r="BQ36" s="11" t="str">
        <f t="shared" ca="1" si="87"/>
        <v/>
      </c>
      <c r="BR36" s="11" t="str">
        <f t="shared" ca="1" si="87"/>
        <v/>
      </c>
      <c r="BS36" s="11" t="str">
        <f t="shared" ca="1" si="87"/>
        <v/>
      </c>
      <c r="BT36" s="11" t="str">
        <f t="shared" ca="1" si="87"/>
        <v/>
      </c>
      <c r="BU36" s="11" t="str">
        <f t="shared" ca="1" si="87"/>
        <v/>
      </c>
      <c r="BV36" s="11" t="str">
        <f t="shared" ca="1" si="87"/>
        <v/>
      </c>
      <c r="BW36" s="11" t="str">
        <f t="shared" ca="1" si="87"/>
        <v/>
      </c>
      <c r="BX36" s="11" t="str">
        <f t="shared" ca="1" si="87"/>
        <v/>
      </c>
      <c r="BY36" s="11" t="str">
        <f t="shared" ca="1" si="87"/>
        <v/>
      </c>
      <c r="BZ36" s="11" t="str">
        <f t="shared" ca="1" si="87"/>
        <v/>
      </c>
    </row>
    <row r="37" spans="1:78">
      <c r="R37" s="4" t="e">
        <f t="shared" ca="1" si="80"/>
        <v>#REF!</v>
      </c>
      <c r="S37" s="4" t="e">
        <f t="shared" ca="1" si="80"/>
        <v>#REF!</v>
      </c>
      <c r="AF37" t="e">
        <f t="shared" ca="1" si="23"/>
        <v>#REF!</v>
      </c>
      <c r="AG37" t="e">
        <f t="shared" ca="1" si="24"/>
        <v>#REF!</v>
      </c>
      <c r="AH37" s="6">
        <v>3</v>
      </c>
      <c r="AI37" s="6" t="e">
        <f t="shared" si="88"/>
        <v>#N/A</v>
      </c>
      <c r="AJ37" s="6" t="s">
        <v>11</v>
      </c>
      <c r="AK37" s="6" t="str" cm="1">
        <f t="array" aca="1" ref="AK37" ca="1">IFERROR(INDEX(INDEX(INDIRECT($A$2&amp;$AI37,TRUE),0),AK$2),"")</f>
        <v/>
      </c>
      <c r="AL37" s="6" t="str" cm="1">
        <f t="array" aca="1" ref="AL37" ca="1">IFERROR(INDEX(INDEX(INDIRECT($A$2&amp;$AI37,TRUE),0),AL$2),"")</f>
        <v/>
      </c>
      <c r="AM37" s="6" t="str" cm="1">
        <f t="array" aca="1" ref="AM37" ca="1">IFERROR(INDEX(INDEX(INDIRECT($A$2&amp;$AI37,TRUE),0),AM$2),"")</f>
        <v/>
      </c>
      <c r="AN37" s="6" t="str" cm="1">
        <f t="array" aca="1" ref="AN37" ca="1">IFERROR(INDEX(INDEX(INDIRECT($A$2&amp;$AI37,TRUE),0),AN$2),"")</f>
        <v/>
      </c>
      <c r="AO37" s="6" t="str" cm="1">
        <f t="array" aca="1" ref="AO37" ca="1">IFERROR(INDEX(INDEX(INDIRECT($A$2&amp;$AI37,TRUE),0),AO$2),"")</f>
        <v/>
      </c>
      <c r="AP37" s="6" t="str" cm="1">
        <f t="array" aca="1" ref="AP37" ca="1">IFERROR(INDEX(INDEX(INDIRECT($A$2&amp;$AI37,TRUE),0),AP$2),"")</f>
        <v/>
      </c>
      <c r="AQ37" s="6" t="str" cm="1">
        <f t="array" aca="1" ref="AQ37" ca="1">IFERROR(INDEX(INDEX(INDIRECT($A$2&amp;$AI37,TRUE),0),AQ$2),"")</f>
        <v/>
      </c>
      <c r="AR37" s="6" t="str" cm="1">
        <f t="array" aca="1" ref="AR37" ca="1">IFERROR(INDEX(INDEX(INDIRECT($A$2&amp;$AI37,TRUE),0),AR$2),"")</f>
        <v/>
      </c>
      <c r="AS37" s="6" t="str" cm="1">
        <f t="array" aca="1" ref="AS37" ca="1">IFERROR(INDEX(INDEX(INDIRECT($A$2&amp;$AI37,TRUE),0),AS$2),"")</f>
        <v/>
      </c>
      <c r="AT37" s="6" t="str" cm="1">
        <f t="array" aca="1" ref="AT37" ca="1">IFERROR(INDEX(INDEX(INDIRECT($A$2&amp;$AI37,TRUE),0),AT$2),"")</f>
        <v/>
      </c>
      <c r="AX37" s="11" t="str">
        <f t="shared" ca="1" si="75"/>
        <v/>
      </c>
      <c r="AY37" s="11" t="str">
        <f t="shared" ca="1" si="75"/>
        <v/>
      </c>
      <c r="AZ37" s="11" t="str">
        <f t="shared" ca="1" si="75"/>
        <v/>
      </c>
      <c r="BA37" s="11" t="str">
        <f t="shared" ca="1" si="75"/>
        <v/>
      </c>
      <c r="BB37" s="11" t="str">
        <f t="shared" ca="1" si="75"/>
        <v/>
      </c>
      <c r="BC37" s="11" t="str">
        <f t="shared" ca="1" si="75"/>
        <v/>
      </c>
      <c r="BD37" s="11" t="str">
        <f t="shared" ca="1" si="75"/>
        <v/>
      </c>
      <c r="BE37" s="11" t="str">
        <f t="shared" ca="1" si="87"/>
        <v/>
      </c>
      <c r="BF37" s="11" t="str">
        <f t="shared" ca="1" si="87"/>
        <v/>
      </c>
      <c r="BG37" s="11" t="str">
        <f t="shared" ca="1" si="87"/>
        <v/>
      </c>
      <c r="BH37" s="11" t="str">
        <f t="shared" ca="1" si="87"/>
        <v/>
      </c>
      <c r="BI37" s="11" t="str">
        <f t="shared" ca="1" si="87"/>
        <v/>
      </c>
      <c r="BJ37" s="11" t="str">
        <f t="shared" ca="1" si="87"/>
        <v/>
      </c>
      <c r="BK37" s="11" t="str">
        <f t="shared" ca="1" si="87"/>
        <v/>
      </c>
      <c r="BL37" s="11" t="str">
        <f t="shared" ca="1" si="87"/>
        <v/>
      </c>
      <c r="BM37" s="11" t="str">
        <f t="shared" ca="1" si="87"/>
        <v/>
      </c>
      <c r="BN37" s="11" t="str">
        <f t="shared" ca="1" si="87"/>
        <v/>
      </c>
      <c r="BO37" s="11" t="str">
        <f t="shared" ca="1" si="87"/>
        <v/>
      </c>
      <c r="BP37" s="11" t="str">
        <f t="shared" ca="1" si="87"/>
        <v/>
      </c>
      <c r="BQ37" s="11" t="str">
        <f t="shared" ca="1" si="87"/>
        <v/>
      </c>
      <c r="BR37" s="11" t="str">
        <f t="shared" ca="1" si="87"/>
        <v/>
      </c>
      <c r="BS37" s="11" t="str">
        <f t="shared" ca="1" si="87"/>
        <v/>
      </c>
      <c r="BT37" s="11" t="str">
        <f t="shared" ca="1" si="87"/>
        <v/>
      </c>
      <c r="BU37" s="11" t="str">
        <f t="shared" ca="1" si="87"/>
        <v/>
      </c>
      <c r="BV37" s="11" t="str">
        <f t="shared" ca="1" si="87"/>
        <v/>
      </c>
      <c r="BW37" s="11" t="str">
        <f t="shared" ca="1" si="87"/>
        <v/>
      </c>
      <c r="BX37" s="11" t="str">
        <f t="shared" ca="1" si="87"/>
        <v/>
      </c>
      <c r="BY37" s="11" t="str">
        <f t="shared" ca="1" si="87"/>
        <v/>
      </c>
      <c r="BZ37" s="11" t="str">
        <f t="shared" ca="1" si="87"/>
        <v/>
      </c>
    </row>
    <row r="38" spans="1:78">
      <c r="R38" s="4" t="e">
        <f t="shared" ca="1" si="80"/>
        <v>#REF!</v>
      </c>
      <c r="S38" s="4" t="e">
        <f t="shared" ca="1" si="80"/>
        <v>#REF!</v>
      </c>
      <c r="AF38" t="e">
        <f t="shared" ca="1" si="23"/>
        <v>#REF!</v>
      </c>
      <c r="AG38" t="e">
        <f t="shared" ca="1" si="24"/>
        <v>#REF!</v>
      </c>
      <c r="AH38" s="6">
        <v>4</v>
      </c>
      <c r="AI38" s="6" t="e">
        <f t="shared" si="88"/>
        <v>#N/A</v>
      </c>
      <c r="AJ38" s="6" t="s">
        <v>32</v>
      </c>
      <c r="AK38" s="6" t="str" cm="1">
        <f t="array" aca="1" ref="AK38" ca="1">IFERROR(INDEX(INDEX(INDIRECT($A$2&amp;$AI38,TRUE),0),AK$2),"")</f>
        <v/>
      </c>
      <c r="AL38" s="6" t="str" cm="1">
        <f t="array" aca="1" ref="AL38" ca="1">IFERROR(INDEX(INDEX(INDIRECT($A$2&amp;$AI38,TRUE),0),AL$2),"")</f>
        <v/>
      </c>
      <c r="AM38" s="6" t="str" cm="1">
        <f t="array" aca="1" ref="AM38" ca="1">IFERROR(INDEX(INDEX(INDIRECT($A$2&amp;$AI38,TRUE),0),AM$2),"")</f>
        <v/>
      </c>
      <c r="AN38" s="6" t="str" cm="1">
        <f t="array" aca="1" ref="AN38" ca="1">IFERROR(INDEX(INDEX(INDIRECT($A$2&amp;$AI38,TRUE),0),AN$2),"")</f>
        <v/>
      </c>
      <c r="AO38" s="6" t="str" cm="1">
        <f t="array" aca="1" ref="AO38" ca="1">IFERROR(INDEX(INDEX(INDIRECT($A$2&amp;$AI38,TRUE),0),AO$2),"")</f>
        <v/>
      </c>
      <c r="AP38" s="6" t="str" cm="1">
        <f t="array" aca="1" ref="AP38" ca="1">IFERROR(INDEX(INDEX(INDIRECT($A$2&amp;$AI38,TRUE),0),AP$2),"")</f>
        <v/>
      </c>
      <c r="AQ38" s="6" t="str" cm="1">
        <f t="array" aca="1" ref="AQ38" ca="1">IFERROR(INDEX(INDEX(INDIRECT($A$2&amp;$AI38,TRUE),0),AQ$2),"")</f>
        <v/>
      </c>
      <c r="AR38" s="6" t="str" cm="1">
        <f t="array" aca="1" ref="AR38" ca="1">IFERROR(INDEX(INDEX(INDIRECT($A$2&amp;$AI38,TRUE),0),AR$2),"")</f>
        <v/>
      </c>
      <c r="AS38" s="6" t="str" cm="1">
        <f t="array" aca="1" ref="AS38" ca="1">IFERROR(INDEX(INDEX(INDIRECT($A$2&amp;$AI38,TRUE),0),AS$2),"")</f>
        <v/>
      </c>
      <c r="AT38" s="6" t="str" cm="1">
        <f t="array" aca="1" ref="AT38" ca="1">IFERROR(INDEX(INDEX(INDIRECT($A$2&amp;$AI38,TRUE),0),AT$2),"")</f>
        <v/>
      </c>
      <c r="AX38" s="11" t="str">
        <f t="shared" ca="1" si="75"/>
        <v/>
      </c>
      <c r="AY38" s="11" t="str">
        <f t="shared" ca="1" si="75"/>
        <v/>
      </c>
      <c r="AZ38" s="11" t="str">
        <f t="shared" ca="1" si="75"/>
        <v/>
      </c>
      <c r="BA38" s="11" t="str">
        <f t="shared" ca="1" si="75"/>
        <v/>
      </c>
      <c r="BB38" s="11" t="str">
        <f t="shared" ca="1" si="75"/>
        <v/>
      </c>
      <c r="BC38" s="11" t="str">
        <f t="shared" ca="1" si="75"/>
        <v/>
      </c>
      <c r="BD38" s="11" t="str">
        <f t="shared" ca="1" si="75"/>
        <v/>
      </c>
      <c r="BE38" s="11" t="str">
        <f t="shared" ca="1" si="87"/>
        <v/>
      </c>
      <c r="BF38" s="11" t="str">
        <f t="shared" ca="1" si="87"/>
        <v/>
      </c>
      <c r="BG38" s="11" t="str">
        <f t="shared" ca="1" si="87"/>
        <v/>
      </c>
      <c r="BH38" s="11" t="str">
        <f t="shared" ca="1" si="87"/>
        <v/>
      </c>
      <c r="BI38" s="11" t="str">
        <f t="shared" ca="1" si="87"/>
        <v/>
      </c>
      <c r="BJ38" s="11" t="str">
        <f t="shared" ca="1" si="87"/>
        <v/>
      </c>
      <c r="BK38" s="11" t="str">
        <f t="shared" ca="1" si="87"/>
        <v/>
      </c>
      <c r="BL38" s="11" t="str">
        <f t="shared" ca="1" si="87"/>
        <v/>
      </c>
      <c r="BM38" s="11" t="str">
        <f t="shared" ca="1" si="87"/>
        <v/>
      </c>
      <c r="BN38" s="11" t="str">
        <f t="shared" ca="1" si="87"/>
        <v/>
      </c>
      <c r="BO38" s="11" t="str">
        <f t="shared" ca="1" si="87"/>
        <v/>
      </c>
      <c r="BP38" s="11" t="str">
        <f t="shared" ca="1" si="87"/>
        <v/>
      </c>
      <c r="BQ38" s="11" t="str">
        <f t="shared" ca="1" si="87"/>
        <v/>
      </c>
      <c r="BR38" s="11" t="str">
        <f t="shared" ca="1" si="87"/>
        <v/>
      </c>
      <c r="BS38" s="11" t="str">
        <f t="shared" ca="1" si="87"/>
        <v/>
      </c>
      <c r="BT38" s="11" t="str">
        <f t="shared" ca="1" si="87"/>
        <v/>
      </c>
      <c r="BU38" s="11" t="str">
        <f t="shared" ca="1" si="87"/>
        <v/>
      </c>
      <c r="BV38" s="11" t="str">
        <f t="shared" ca="1" si="87"/>
        <v/>
      </c>
      <c r="BW38" s="11" t="str">
        <f t="shared" ca="1" si="87"/>
        <v/>
      </c>
      <c r="BX38" s="11" t="str">
        <f t="shared" ca="1" si="87"/>
        <v/>
      </c>
      <c r="BY38" s="11" t="str">
        <f t="shared" ca="1" si="87"/>
        <v/>
      </c>
      <c r="BZ38" s="11" t="str">
        <f t="shared" ca="1" si="87"/>
        <v/>
      </c>
    </row>
    <row r="39" spans="1:78">
      <c r="R39" s="4" t="e">
        <f t="shared" ca="1" si="80"/>
        <v>#REF!</v>
      </c>
      <c r="S39" s="4" t="e">
        <f t="shared" ca="1" si="80"/>
        <v>#REF!</v>
      </c>
      <c r="AF39" t="e">
        <f t="shared" ca="1" si="23"/>
        <v>#REF!</v>
      </c>
      <c r="AG39" t="e">
        <f t="shared" ca="1" si="24"/>
        <v>#REF!</v>
      </c>
      <c r="AH39" s="6">
        <v>5</v>
      </c>
      <c r="AI39" s="6" t="e">
        <f t="shared" si="88"/>
        <v>#N/A</v>
      </c>
      <c r="AJ39" s="6" t="s">
        <v>37</v>
      </c>
      <c r="AK39" s="6" t="str" cm="1">
        <f t="array" aca="1" ref="AK39" ca="1">IFERROR(INDEX(INDEX(INDIRECT($A$2&amp;$AI39,TRUE),0),AK$2),"")</f>
        <v/>
      </c>
      <c r="AL39" s="6" t="str" cm="1">
        <f t="array" aca="1" ref="AL39" ca="1">IFERROR(INDEX(INDEX(INDIRECT($A$2&amp;$AI39,TRUE),0),AL$2),"")</f>
        <v/>
      </c>
      <c r="AM39" s="6" t="str" cm="1">
        <f t="array" aca="1" ref="AM39" ca="1">IFERROR(INDEX(INDEX(INDIRECT($A$2&amp;$AI39,TRUE),0),AM$2),"")</f>
        <v/>
      </c>
      <c r="AN39" s="6" t="str" cm="1">
        <f t="array" aca="1" ref="AN39" ca="1">IFERROR(INDEX(INDEX(INDIRECT($A$2&amp;$AI39,TRUE),0),AN$2),"")</f>
        <v/>
      </c>
      <c r="AO39" s="6" t="str" cm="1">
        <f t="array" aca="1" ref="AO39" ca="1">IFERROR(INDEX(INDEX(INDIRECT($A$2&amp;$AI39,TRUE),0),AO$2),"")</f>
        <v/>
      </c>
      <c r="AP39" s="6" t="str" cm="1">
        <f t="array" aca="1" ref="AP39" ca="1">IFERROR(INDEX(INDEX(INDIRECT($A$2&amp;$AI39,TRUE),0),AP$2),"")</f>
        <v/>
      </c>
      <c r="AQ39" s="6" t="str" cm="1">
        <f t="array" aca="1" ref="AQ39" ca="1">IFERROR(INDEX(INDEX(INDIRECT($A$2&amp;$AI39,TRUE),0),AQ$2),"")</f>
        <v/>
      </c>
      <c r="AR39" s="6" t="str" cm="1">
        <f t="array" aca="1" ref="AR39" ca="1">IFERROR(INDEX(INDEX(INDIRECT($A$2&amp;$AI39,TRUE),0),AR$2),"")</f>
        <v/>
      </c>
      <c r="AS39" s="6" t="str" cm="1">
        <f t="array" aca="1" ref="AS39" ca="1">IFERROR(INDEX(INDEX(INDIRECT($A$2&amp;$AI39,TRUE),0),AS$2),"")</f>
        <v/>
      </c>
      <c r="AT39" s="6" t="str" cm="1">
        <f t="array" aca="1" ref="AT39" ca="1">IFERROR(INDEX(INDEX(INDIRECT($A$2&amp;$AI39,TRUE),0),AT$2),"")</f>
        <v/>
      </c>
      <c r="AX39" s="11" t="str">
        <f t="shared" ca="1" si="75"/>
        <v/>
      </c>
      <c r="AY39" s="11" t="str">
        <f t="shared" ca="1" si="75"/>
        <v/>
      </c>
      <c r="AZ39" s="11" t="str">
        <f t="shared" ca="1" si="75"/>
        <v/>
      </c>
      <c r="BA39" s="11" t="str">
        <f t="shared" ca="1" si="75"/>
        <v/>
      </c>
      <c r="BB39" s="11" t="str">
        <f t="shared" ca="1" si="75"/>
        <v/>
      </c>
      <c r="BC39" s="11" t="str">
        <f t="shared" ca="1" si="75"/>
        <v/>
      </c>
      <c r="BD39" s="11" t="str">
        <f t="shared" ca="1" si="75"/>
        <v/>
      </c>
      <c r="BE39" s="11" t="str">
        <f t="shared" ca="1" si="87"/>
        <v/>
      </c>
      <c r="BF39" s="11" t="str">
        <f t="shared" ca="1" si="87"/>
        <v/>
      </c>
      <c r="BG39" s="11" t="str">
        <f t="shared" ca="1" si="87"/>
        <v/>
      </c>
      <c r="BH39" s="11" t="str">
        <f t="shared" ca="1" si="87"/>
        <v/>
      </c>
      <c r="BI39" s="11" t="str">
        <f t="shared" ca="1" si="87"/>
        <v/>
      </c>
      <c r="BJ39" s="11" t="str">
        <f t="shared" ca="1" si="87"/>
        <v/>
      </c>
      <c r="BK39" s="11" t="str">
        <f t="shared" ca="1" si="87"/>
        <v/>
      </c>
      <c r="BL39" s="11" t="str">
        <f t="shared" ca="1" si="87"/>
        <v/>
      </c>
      <c r="BM39" s="11" t="str">
        <f t="shared" ca="1" si="87"/>
        <v/>
      </c>
      <c r="BN39" s="11" t="str">
        <f t="shared" ca="1" si="87"/>
        <v/>
      </c>
      <c r="BO39" s="11" t="str">
        <f t="shared" ca="1" si="87"/>
        <v/>
      </c>
      <c r="BP39" s="11" t="str">
        <f t="shared" ca="1" si="87"/>
        <v/>
      </c>
      <c r="BQ39" s="11" t="str">
        <f t="shared" ca="1" si="87"/>
        <v/>
      </c>
      <c r="BR39" s="11" t="str">
        <f t="shared" ca="1" si="87"/>
        <v/>
      </c>
      <c r="BS39" s="11" t="str">
        <f t="shared" ca="1" si="87"/>
        <v/>
      </c>
      <c r="BT39" s="11" t="str">
        <f t="shared" ca="1" si="87"/>
        <v/>
      </c>
      <c r="BU39" s="11" t="str">
        <f t="shared" ca="1" si="87"/>
        <v/>
      </c>
      <c r="BV39" s="11" t="str">
        <f t="shared" ca="1" si="87"/>
        <v/>
      </c>
      <c r="BW39" s="11" t="str">
        <f t="shared" ca="1" si="87"/>
        <v/>
      </c>
      <c r="BX39" s="11" t="str">
        <f t="shared" ca="1" si="87"/>
        <v/>
      </c>
      <c r="BY39" s="11" t="str">
        <f t="shared" ca="1" si="87"/>
        <v/>
      </c>
      <c r="BZ39" s="11" t="str">
        <f t="shared" ca="1" si="87"/>
        <v/>
      </c>
    </row>
    <row r="40" spans="1:78">
      <c r="R40" s="4" t="e">
        <f t="shared" ca="1" si="80"/>
        <v>#REF!</v>
      </c>
      <c r="S40" s="4" t="e">
        <f t="shared" ca="1" si="80"/>
        <v>#REF!</v>
      </c>
      <c r="AF40" t="e">
        <f t="shared" ca="1" si="23"/>
        <v>#REF!</v>
      </c>
      <c r="AG40" t="e">
        <f t="shared" ca="1" si="24"/>
        <v>#REF!</v>
      </c>
      <c r="AH40" s="6">
        <v>6</v>
      </c>
      <c r="AI40" s="6" t="e">
        <f t="shared" si="88"/>
        <v>#N/A</v>
      </c>
      <c r="AJ40" s="6" t="s">
        <v>41</v>
      </c>
      <c r="AK40" s="6" t="str" cm="1">
        <f t="array" aca="1" ref="AK40" ca="1">IFERROR(INDEX(INDEX(INDIRECT($A$2&amp;$AI40,TRUE),0),AK$2),"")</f>
        <v/>
      </c>
      <c r="AL40" s="6" t="str" cm="1">
        <f t="array" aca="1" ref="AL40" ca="1">IFERROR(INDEX(INDEX(INDIRECT($A$2&amp;$AI40,TRUE),0),AL$2),"")</f>
        <v/>
      </c>
      <c r="AM40" s="6" t="str" cm="1">
        <f t="array" aca="1" ref="AM40" ca="1">IFERROR(INDEX(INDEX(INDIRECT($A$2&amp;$AI40,TRUE),0),AM$2),"")</f>
        <v/>
      </c>
      <c r="AN40" s="6" t="str" cm="1">
        <f t="array" aca="1" ref="AN40" ca="1">IFERROR(INDEX(INDEX(INDIRECT($A$2&amp;$AI40,TRUE),0),AN$2),"")</f>
        <v/>
      </c>
      <c r="AO40" s="6" t="str" cm="1">
        <f t="array" aca="1" ref="AO40" ca="1">IFERROR(INDEX(INDEX(INDIRECT($A$2&amp;$AI40,TRUE),0),AO$2),"")</f>
        <v/>
      </c>
      <c r="AP40" s="6" t="str" cm="1">
        <f t="array" aca="1" ref="AP40" ca="1">IFERROR(INDEX(INDEX(INDIRECT($A$2&amp;$AI40,TRUE),0),AP$2),"")</f>
        <v/>
      </c>
      <c r="AQ40" s="6" t="str" cm="1">
        <f t="array" aca="1" ref="AQ40" ca="1">IFERROR(INDEX(INDEX(INDIRECT($A$2&amp;$AI40,TRUE),0),AQ$2),"")</f>
        <v/>
      </c>
      <c r="AR40" s="6" t="str" cm="1">
        <f t="array" aca="1" ref="AR40" ca="1">IFERROR(INDEX(INDEX(INDIRECT($A$2&amp;$AI40,TRUE),0),AR$2),"")</f>
        <v/>
      </c>
      <c r="AS40" s="6" t="str" cm="1">
        <f t="array" aca="1" ref="AS40" ca="1">IFERROR(INDEX(INDEX(INDIRECT($A$2&amp;$AI40,TRUE),0),AS$2),"")</f>
        <v/>
      </c>
      <c r="AT40" s="6" t="str" cm="1">
        <f t="array" aca="1" ref="AT40" ca="1">IFERROR(INDEX(INDEX(INDIRECT($A$2&amp;$AI40,TRUE),0),AT$2),"")</f>
        <v/>
      </c>
      <c r="AX40" s="11" t="str">
        <f t="shared" ca="1" si="75"/>
        <v/>
      </c>
      <c r="AY40" s="11" t="str">
        <f t="shared" ca="1" si="75"/>
        <v/>
      </c>
      <c r="AZ40" s="11" t="str">
        <f t="shared" ca="1" si="75"/>
        <v/>
      </c>
      <c r="BA40" s="11" t="str">
        <f t="shared" ca="1" si="75"/>
        <v/>
      </c>
      <c r="BB40" s="11" t="str">
        <f t="shared" ca="1" si="75"/>
        <v/>
      </c>
      <c r="BC40" s="11" t="str">
        <f t="shared" ca="1" si="75"/>
        <v/>
      </c>
      <c r="BD40" s="11" t="str">
        <f t="shared" ca="1" si="75"/>
        <v/>
      </c>
      <c r="BE40" s="11" t="str">
        <f t="shared" ref="BE40:BZ44" ca="1" si="89">IFERROR(INDEX(INDIRECT(BE$1,TRUE),MATCH($AW40,INDIRECT(BE$2,TRUE),0)),"")</f>
        <v/>
      </c>
      <c r="BF40" s="11" t="str">
        <f t="shared" ca="1" si="89"/>
        <v/>
      </c>
      <c r="BG40" s="11" t="str">
        <f t="shared" ca="1" si="89"/>
        <v/>
      </c>
      <c r="BH40" s="11" t="str">
        <f t="shared" ca="1" si="89"/>
        <v/>
      </c>
      <c r="BI40" s="11" t="str">
        <f t="shared" ca="1" si="89"/>
        <v/>
      </c>
      <c r="BJ40" s="11" t="str">
        <f t="shared" ca="1" si="89"/>
        <v/>
      </c>
      <c r="BK40" s="11" t="str">
        <f t="shared" ca="1" si="89"/>
        <v/>
      </c>
      <c r="BL40" s="11" t="str">
        <f t="shared" ca="1" si="89"/>
        <v/>
      </c>
      <c r="BM40" s="11" t="str">
        <f t="shared" ca="1" si="89"/>
        <v/>
      </c>
      <c r="BN40" s="11" t="str">
        <f t="shared" ca="1" si="89"/>
        <v/>
      </c>
      <c r="BO40" s="11" t="str">
        <f t="shared" ca="1" si="89"/>
        <v/>
      </c>
      <c r="BP40" s="11" t="str">
        <f t="shared" ca="1" si="89"/>
        <v/>
      </c>
      <c r="BQ40" s="11" t="str">
        <f t="shared" ca="1" si="89"/>
        <v/>
      </c>
      <c r="BR40" s="11" t="str">
        <f t="shared" ca="1" si="89"/>
        <v/>
      </c>
      <c r="BS40" s="11" t="str">
        <f t="shared" ca="1" si="89"/>
        <v/>
      </c>
      <c r="BT40" s="11" t="str">
        <f t="shared" ca="1" si="89"/>
        <v/>
      </c>
      <c r="BU40" s="11" t="str">
        <f t="shared" ca="1" si="89"/>
        <v/>
      </c>
      <c r="BV40" s="11" t="str">
        <f t="shared" ca="1" si="89"/>
        <v/>
      </c>
      <c r="BW40" s="11" t="str">
        <f t="shared" ca="1" si="89"/>
        <v/>
      </c>
      <c r="BX40" s="11" t="str">
        <f t="shared" ca="1" si="89"/>
        <v/>
      </c>
      <c r="BY40" s="11" t="str">
        <f t="shared" ca="1" si="89"/>
        <v/>
      </c>
      <c r="BZ40" s="11" t="str">
        <f t="shared" ca="1" si="89"/>
        <v/>
      </c>
    </row>
    <row r="41" spans="1:78">
      <c r="R41" s="4" t="e">
        <f t="shared" ca="1" si="80"/>
        <v>#REF!</v>
      </c>
      <c r="S41" s="4" t="e">
        <f t="shared" ca="1" si="80"/>
        <v>#REF!</v>
      </c>
      <c r="AF41" t="e">
        <f t="shared" ca="1" si="23"/>
        <v>#REF!</v>
      </c>
      <c r="AG41" t="e">
        <f t="shared" ca="1" si="24"/>
        <v>#REF!</v>
      </c>
      <c r="AI41" t="s">
        <v>63</v>
      </c>
      <c r="AJ41" s="8">
        <f>AJ34-1</f>
        <v>-5</v>
      </c>
      <c r="AK41" s="9" t="e">
        <f>" ("&amp;CHOOSE(WEEKDAY(AJ41,1),"日","月","火","水","木","金","土")&amp;")"</f>
        <v>#NUM!</v>
      </c>
      <c r="AL41" s="10"/>
      <c r="AM41" s="10"/>
      <c r="AN41" s="10"/>
      <c r="AO41" s="10"/>
      <c r="AP41" s="10"/>
      <c r="AQ41" s="10"/>
      <c r="AR41" s="10"/>
      <c r="AS41" s="10"/>
      <c r="AT41" s="10"/>
      <c r="AX41" s="11" t="str">
        <f t="shared" ca="1" si="75"/>
        <v/>
      </c>
      <c r="AY41" s="11" t="str">
        <f t="shared" ca="1" si="75"/>
        <v/>
      </c>
      <c r="AZ41" s="11" t="str">
        <f t="shared" ca="1" si="75"/>
        <v/>
      </c>
      <c r="BA41" s="11" t="str">
        <f t="shared" ca="1" si="75"/>
        <v/>
      </c>
      <c r="BB41" s="11" t="str">
        <f t="shared" ca="1" si="75"/>
        <v/>
      </c>
      <c r="BC41" s="11" t="str">
        <f t="shared" ca="1" si="75"/>
        <v/>
      </c>
      <c r="BD41" s="11" t="str">
        <f t="shared" ca="1" si="75"/>
        <v/>
      </c>
      <c r="BE41" s="11" t="str">
        <f t="shared" ca="1" si="89"/>
        <v/>
      </c>
      <c r="BF41" s="11" t="str">
        <f t="shared" ca="1" si="89"/>
        <v/>
      </c>
      <c r="BG41" s="11" t="str">
        <f t="shared" ca="1" si="89"/>
        <v/>
      </c>
      <c r="BH41" s="11" t="str">
        <f t="shared" ca="1" si="89"/>
        <v/>
      </c>
      <c r="BI41" s="11" t="str">
        <f t="shared" ca="1" si="89"/>
        <v/>
      </c>
      <c r="BJ41" s="11" t="str">
        <f t="shared" ca="1" si="89"/>
        <v/>
      </c>
      <c r="BK41" s="11" t="str">
        <f t="shared" ca="1" si="89"/>
        <v/>
      </c>
      <c r="BL41" s="11" t="str">
        <f t="shared" ca="1" si="89"/>
        <v/>
      </c>
      <c r="BM41" s="11" t="str">
        <f t="shared" ca="1" si="89"/>
        <v/>
      </c>
      <c r="BN41" s="11" t="str">
        <f t="shared" ca="1" si="89"/>
        <v/>
      </c>
      <c r="BO41" s="11" t="str">
        <f t="shared" ca="1" si="89"/>
        <v/>
      </c>
      <c r="BP41" s="11" t="str">
        <f t="shared" ca="1" si="89"/>
        <v/>
      </c>
      <c r="BQ41" s="11" t="str">
        <f t="shared" ca="1" si="89"/>
        <v/>
      </c>
      <c r="BR41" s="11" t="str">
        <f t="shared" ca="1" si="89"/>
        <v/>
      </c>
      <c r="BS41" s="11" t="str">
        <f t="shared" ca="1" si="89"/>
        <v/>
      </c>
      <c r="BT41" s="11" t="str">
        <f t="shared" ca="1" si="89"/>
        <v/>
      </c>
      <c r="BU41" s="11" t="str">
        <f t="shared" ca="1" si="89"/>
        <v/>
      </c>
      <c r="BV41" s="11" t="str">
        <f t="shared" ca="1" si="89"/>
        <v/>
      </c>
      <c r="BW41" s="11" t="str">
        <f t="shared" ca="1" si="89"/>
        <v/>
      </c>
      <c r="BX41" s="11" t="str">
        <f t="shared" ca="1" si="89"/>
        <v/>
      </c>
      <c r="BY41" s="11" t="str">
        <f t="shared" ca="1" si="89"/>
        <v/>
      </c>
      <c r="BZ41" s="11" t="str">
        <f t="shared" ca="1" si="89"/>
        <v/>
      </c>
    </row>
    <row r="42" spans="1:78">
      <c r="R42" s="4" t="e">
        <f t="shared" ca="1" si="80"/>
        <v>#REF!</v>
      </c>
      <c r="S42" s="4" t="e">
        <f t="shared" ca="1" si="80"/>
        <v>#REF!</v>
      </c>
      <c r="AF42" t="e">
        <f t="shared" ca="1" si="23"/>
        <v>#REF!</v>
      </c>
      <c r="AG42" t="e">
        <f t="shared" ca="1" si="24"/>
        <v>#REF!</v>
      </c>
      <c r="AH42" s="6">
        <v>1</v>
      </c>
      <c r="AI42" s="6" t="e">
        <f>INDEX($T$4:$AE$32,MATCH($AJ$41,$B$4:$B$34,0),MATCH($AJ42,$T$3:$AE$3,0))</f>
        <v>#N/A</v>
      </c>
      <c r="AJ42" s="6" t="s">
        <v>19</v>
      </c>
      <c r="AK42" s="6" t="str" cm="1">
        <f t="array" aca="1" ref="AK42" ca="1">IFERROR(INDEX(INDEX(INDIRECT($A$2&amp;$AI42,TRUE),0),AK$2),"")</f>
        <v/>
      </c>
      <c r="AL42" s="6" t="str" cm="1">
        <f t="array" aca="1" ref="AL42" ca="1">IFERROR(INDEX(INDEX(INDIRECT($A$2&amp;$AI42,TRUE),0),AL$2),"")</f>
        <v/>
      </c>
      <c r="AM42" s="6" t="str" cm="1">
        <f t="array" aca="1" ref="AM42" ca="1">IFERROR(INDEX(INDEX(INDIRECT($A$2&amp;$AI42,TRUE),0),AM$2),"")</f>
        <v/>
      </c>
      <c r="AN42" s="6" t="str" cm="1">
        <f t="array" aca="1" ref="AN42" ca="1">IFERROR(INDEX(INDEX(INDIRECT($A$2&amp;$AI42,TRUE),0),AN$2),"")</f>
        <v/>
      </c>
      <c r="AO42" s="6" t="str" cm="1">
        <f t="array" aca="1" ref="AO42" ca="1">IFERROR(INDEX(INDEX(INDIRECT($A$2&amp;$AI42,TRUE),0),AO$2),"")</f>
        <v/>
      </c>
      <c r="AP42" s="6" t="str" cm="1">
        <f t="array" aca="1" ref="AP42" ca="1">IFERROR(INDEX(INDEX(INDIRECT($A$2&amp;$AI42,TRUE),0),AP$2),"")</f>
        <v/>
      </c>
      <c r="AQ42" s="6" t="str" cm="1">
        <f t="array" aca="1" ref="AQ42" ca="1">IFERROR(INDEX(INDEX(INDIRECT($A$2&amp;$AI42,TRUE),0),AQ$2),"")</f>
        <v/>
      </c>
      <c r="AR42" s="6" t="str" cm="1">
        <f t="array" aca="1" ref="AR42" ca="1">IFERROR(INDEX(INDEX(INDIRECT($A$2&amp;$AI42,TRUE),0),AR$2),"")</f>
        <v/>
      </c>
      <c r="AS42" s="6" t="str" cm="1">
        <f t="array" aca="1" ref="AS42" ca="1">IFERROR(INDEX(INDEX(INDIRECT($A$2&amp;$AI42,TRUE),0),AS$2),"")</f>
        <v/>
      </c>
      <c r="AT42" s="6" t="str" cm="1">
        <f t="array" aca="1" ref="AT42" ca="1">IFERROR(INDEX(INDEX(INDIRECT($A$2&amp;$AI42,TRUE),0),AT$2),"")</f>
        <v/>
      </c>
      <c r="AX42" s="11" t="str">
        <f t="shared" ca="1" si="75"/>
        <v/>
      </c>
      <c r="AY42" s="11" t="str">
        <f t="shared" ca="1" si="75"/>
        <v/>
      </c>
      <c r="AZ42" s="11" t="str">
        <f t="shared" ca="1" si="75"/>
        <v/>
      </c>
      <c r="BA42" s="11" t="str">
        <f t="shared" ca="1" si="75"/>
        <v/>
      </c>
      <c r="BB42" s="11" t="str">
        <f t="shared" ca="1" si="75"/>
        <v/>
      </c>
      <c r="BC42" s="11" t="str">
        <f t="shared" ca="1" si="75"/>
        <v/>
      </c>
      <c r="BD42" s="11" t="str">
        <f t="shared" ca="1" si="75"/>
        <v/>
      </c>
      <c r="BE42" s="11" t="str">
        <f t="shared" ca="1" si="89"/>
        <v/>
      </c>
      <c r="BF42" s="11" t="str">
        <f t="shared" ca="1" si="89"/>
        <v/>
      </c>
      <c r="BG42" s="11" t="str">
        <f t="shared" ca="1" si="89"/>
        <v/>
      </c>
      <c r="BH42" s="11" t="str">
        <f t="shared" ca="1" si="89"/>
        <v/>
      </c>
      <c r="BI42" s="11" t="str">
        <f t="shared" ca="1" si="89"/>
        <v/>
      </c>
      <c r="BJ42" s="11" t="str">
        <f t="shared" ca="1" si="89"/>
        <v/>
      </c>
      <c r="BK42" s="11" t="str">
        <f t="shared" ca="1" si="89"/>
        <v/>
      </c>
      <c r="BL42" s="11" t="str">
        <f t="shared" ca="1" si="89"/>
        <v/>
      </c>
      <c r="BM42" s="11" t="str">
        <f t="shared" ca="1" si="89"/>
        <v/>
      </c>
      <c r="BN42" s="11" t="str">
        <f t="shared" ca="1" si="89"/>
        <v/>
      </c>
      <c r="BO42" s="11" t="str">
        <f t="shared" ca="1" si="89"/>
        <v/>
      </c>
      <c r="BP42" s="11" t="str">
        <f t="shared" ca="1" si="89"/>
        <v/>
      </c>
      <c r="BQ42" s="11" t="str">
        <f t="shared" ca="1" si="89"/>
        <v/>
      </c>
      <c r="BR42" s="11" t="str">
        <f t="shared" ca="1" si="89"/>
        <v/>
      </c>
      <c r="BS42" s="11" t="str">
        <f t="shared" ca="1" si="89"/>
        <v/>
      </c>
      <c r="BT42" s="11" t="str">
        <f t="shared" ca="1" si="89"/>
        <v/>
      </c>
      <c r="BU42" s="11" t="str">
        <f t="shared" ca="1" si="89"/>
        <v/>
      </c>
      <c r="BV42" s="11" t="str">
        <f t="shared" ca="1" si="89"/>
        <v/>
      </c>
      <c r="BW42" s="11" t="str">
        <f t="shared" ca="1" si="89"/>
        <v/>
      </c>
      <c r="BX42" s="11" t="str">
        <f t="shared" ca="1" si="89"/>
        <v/>
      </c>
      <c r="BY42" s="11" t="str">
        <f t="shared" ca="1" si="89"/>
        <v/>
      </c>
      <c r="BZ42" s="11" t="str">
        <f t="shared" ca="1" si="89"/>
        <v/>
      </c>
    </row>
    <row r="43" spans="1:78">
      <c r="R43" s="4" t="e">
        <f t="shared" ca="1" si="80"/>
        <v>#REF!</v>
      </c>
      <c r="S43" s="4" t="e">
        <f t="shared" ca="1" si="80"/>
        <v>#REF!</v>
      </c>
      <c r="AF43" t="e">
        <f t="shared" ca="1" si="23"/>
        <v>#REF!</v>
      </c>
      <c r="AG43" t="e">
        <f t="shared" ca="1" si="24"/>
        <v>#REF!</v>
      </c>
      <c r="AH43" s="6">
        <v>2</v>
      </c>
      <c r="AI43" s="6" t="e">
        <f t="shared" ref="AI43:AI47" si="90">INDEX($T$4:$AE$32,MATCH($AJ$41,$B$4:$B$34,0),MATCH($AJ43,$T$3:$AE$3,0))</f>
        <v>#N/A</v>
      </c>
      <c r="AJ43" s="6" t="s">
        <v>24</v>
      </c>
      <c r="AK43" s="6" t="str" cm="1">
        <f t="array" aca="1" ref="AK43" ca="1">IFERROR(INDEX(INDEX(INDIRECT($A$2&amp;$AI43,TRUE),0),AK$2),"")</f>
        <v/>
      </c>
      <c r="AL43" s="6" t="str" cm="1">
        <f t="array" aca="1" ref="AL43" ca="1">IFERROR(INDEX(INDEX(INDIRECT($A$2&amp;$AI43,TRUE),0),AL$2),"")</f>
        <v/>
      </c>
      <c r="AM43" s="6" t="str" cm="1">
        <f t="array" aca="1" ref="AM43" ca="1">IFERROR(INDEX(INDEX(INDIRECT($A$2&amp;$AI43,TRUE),0),AM$2),"")</f>
        <v/>
      </c>
      <c r="AN43" s="6" t="str" cm="1">
        <f t="array" aca="1" ref="AN43" ca="1">IFERROR(INDEX(INDEX(INDIRECT($A$2&amp;$AI43,TRUE),0),AN$2),"")</f>
        <v/>
      </c>
      <c r="AO43" s="6" t="str" cm="1">
        <f t="array" aca="1" ref="AO43" ca="1">IFERROR(INDEX(INDEX(INDIRECT($A$2&amp;$AI43,TRUE),0),AO$2),"")</f>
        <v/>
      </c>
      <c r="AP43" s="6" t="str" cm="1">
        <f t="array" aca="1" ref="AP43" ca="1">IFERROR(INDEX(INDEX(INDIRECT($A$2&amp;$AI43,TRUE),0),AP$2),"")</f>
        <v/>
      </c>
      <c r="AQ43" s="6" t="str" cm="1">
        <f t="array" aca="1" ref="AQ43" ca="1">IFERROR(INDEX(INDEX(INDIRECT($A$2&amp;$AI43,TRUE),0),AQ$2),"")</f>
        <v/>
      </c>
      <c r="AR43" s="6" t="str" cm="1">
        <f t="array" aca="1" ref="AR43" ca="1">IFERROR(INDEX(INDEX(INDIRECT($A$2&amp;$AI43,TRUE),0),AR$2),"")</f>
        <v/>
      </c>
      <c r="AS43" s="6" t="str" cm="1">
        <f t="array" aca="1" ref="AS43" ca="1">IFERROR(INDEX(INDEX(INDIRECT($A$2&amp;$AI43,TRUE),0),AS$2),"")</f>
        <v/>
      </c>
      <c r="AT43" s="6" t="str" cm="1">
        <f t="array" aca="1" ref="AT43" ca="1">IFERROR(INDEX(INDEX(INDIRECT($A$2&amp;$AI43,TRUE),0),AT$2),"")</f>
        <v/>
      </c>
      <c r="AX43" s="11" t="str">
        <f ca="1">IFERROR(INDEX(INDIRECT(AX$1,TRUE),MATCH($AW43,INDIRECT(AX$2,TRUE),0)),"")</f>
        <v/>
      </c>
      <c r="AY43" s="11" t="str">
        <f t="shared" ca="1" si="75"/>
        <v/>
      </c>
      <c r="AZ43" s="11" t="str">
        <f t="shared" ca="1" si="75"/>
        <v/>
      </c>
      <c r="BA43" s="11" t="str">
        <f t="shared" ca="1" si="75"/>
        <v/>
      </c>
      <c r="BB43" s="11" t="str">
        <f t="shared" ca="1" si="75"/>
        <v/>
      </c>
      <c r="BC43" s="11" t="str">
        <f t="shared" ca="1" si="75"/>
        <v/>
      </c>
      <c r="BD43" s="11" t="str">
        <f t="shared" ca="1" si="75"/>
        <v/>
      </c>
      <c r="BE43" s="11" t="str">
        <f t="shared" ca="1" si="89"/>
        <v/>
      </c>
      <c r="BF43" s="11" t="str">
        <f t="shared" ca="1" si="89"/>
        <v/>
      </c>
      <c r="BG43" s="11" t="str">
        <f t="shared" ca="1" si="89"/>
        <v/>
      </c>
      <c r="BH43" s="11" t="str">
        <f t="shared" ca="1" si="89"/>
        <v/>
      </c>
      <c r="BI43" s="11" t="str">
        <f t="shared" ca="1" si="89"/>
        <v/>
      </c>
      <c r="BJ43" s="11" t="str">
        <f t="shared" ca="1" si="89"/>
        <v/>
      </c>
      <c r="BK43" s="11" t="str">
        <f t="shared" ca="1" si="89"/>
        <v/>
      </c>
      <c r="BL43" s="11" t="str">
        <f t="shared" ca="1" si="89"/>
        <v/>
      </c>
      <c r="BM43" s="11" t="str">
        <f t="shared" ca="1" si="89"/>
        <v/>
      </c>
      <c r="BN43" s="11" t="str">
        <f t="shared" ca="1" si="89"/>
        <v/>
      </c>
      <c r="BO43" s="11" t="str">
        <f t="shared" ca="1" si="89"/>
        <v/>
      </c>
      <c r="BP43" s="11" t="str">
        <f t="shared" ca="1" si="89"/>
        <v/>
      </c>
      <c r="BQ43" s="11" t="str">
        <f t="shared" ca="1" si="89"/>
        <v/>
      </c>
      <c r="BR43" s="11" t="str">
        <f t="shared" ca="1" si="89"/>
        <v/>
      </c>
      <c r="BS43" s="11" t="str">
        <f t="shared" ca="1" si="89"/>
        <v/>
      </c>
      <c r="BT43" s="11" t="str">
        <f t="shared" ca="1" si="89"/>
        <v/>
      </c>
      <c r="BU43" s="11" t="str">
        <f t="shared" ca="1" si="89"/>
        <v/>
      </c>
      <c r="BV43" s="11" t="str">
        <f t="shared" ca="1" si="89"/>
        <v/>
      </c>
      <c r="BW43" s="11" t="str">
        <f t="shared" ca="1" si="89"/>
        <v/>
      </c>
      <c r="BX43" s="11" t="str">
        <f t="shared" ca="1" si="89"/>
        <v/>
      </c>
      <c r="BY43" s="11" t="str">
        <f t="shared" ca="1" si="89"/>
        <v/>
      </c>
      <c r="BZ43" s="11" t="str">
        <f t="shared" ca="1" si="89"/>
        <v/>
      </c>
    </row>
    <row r="44" spans="1:78">
      <c r="R44" s="4" t="e">
        <f t="shared" ca="1" si="80"/>
        <v>#REF!</v>
      </c>
      <c r="S44" s="4" t="e">
        <f t="shared" ca="1" si="80"/>
        <v>#REF!</v>
      </c>
      <c r="AF44" t="e">
        <f t="shared" ca="1" si="23"/>
        <v>#REF!</v>
      </c>
      <c r="AG44" t="e">
        <f t="shared" ca="1" si="24"/>
        <v>#REF!</v>
      </c>
      <c r="AH44" s="6">
        <v>3</v>
      </c>
      <c r="AI44" s="6" t="e">
        <f t="shared" si="90"/>
        <v>#N/A</v>
      </c>
      <c r="AJ44" s="6" t="s">
        <v>11</v>
      </c>
      <c r="AK44" s="6" t="str" cm="1">
        <f t="array" aca="1" ref="AK44" ca="1">IFERROR(INDEX(INDEX(INDIRECT($A$2&amp;$AI44,TRUE),0),AK$2),"")</f>
        <v/>
      </c>
      <c r="AL44" s="6" t="str" cm="1">
        <f t="array" aca="1" ref="AL44" ca="1">IFERROR(INDEX(INDEX(INDIRECT($A$2&amp;$AI44,TRUE),0),AL$2),"")</f>
        <v/>
      </c>
      <c r="AM44" s="6" t="str" cm="1">
        <f t="array" aca="1" ref="AM44" ca="1">IFERROR(INDEX(INDEX(INDIRECT($A$2&amp;$AI44,TRUE),0),AM$2),"")</f>
        <v/>
      </c>
      <c r="AN44" s="6" t="str" cm="1">
        <f t="array" aca="1" ref="AN44" ca="1">IFERROR(INDEX(INDEX(INDIRECT($A$2&amp;$AI44,TRUE),0),AN$2),"")</f>
        <v/>
      </c>
      <c r="AO44" s="6" t="str" cm="1">
        <f t="array" aca="1" ref="AO44" ca="1">IFERROR(INDEX(INDEX(INDIRECT($A$2&amp;$AI44,TRUE),0),AO$2),"")</f>
        <v/>
      </c>
      <c r="AP44" s="6" t="str" cm="1">
        <f t="array" aca="1" ref="AP44" ca="1">IFERROR(INDEX(INDEX(INDIRECT($A$2&amp;$AI44,TRUE),0),AP$2),"")</f>
        <v/>
      </c>
      <c r="AQ44" s="6" t="str" cm="1">
        <f t="array" aca="1" ref="AQ44" ca="1">IFERROR(INDEX(INDEX(INDIRECT($A$2&amp;$AI44,TRUE),0),AQ$2),"")</f>
        <v/>
      </c>
      <c r="AR44" s="6" t="str" cm="1">
        <f t="array" aca="1" ref="AR44" ca="1">IFERROR(INDEX(INDEX(INDIRECT($A$2&amp;$AI44,TRUE),0),AR$2),"")</f>
        <v/>
      </c>
      <c r="AS44" s="6" t="str" cm="1">
        <f t="array" aca="1" ref="AS44" ca="1">IFERROR(INDEX(INDEX(INDIRECT($A$2&amp;$AI44,TRUE),0),AS$2),"")</f>
        <v/>
      </c>
      <c r="AT44" s="6" t="str" cm="1">
        <f t="array" aca="1" ref="AT44" ca="1">IFERROR(INDEX(INDEX(INDIRECT($A$2&amp;$AI44,TRUE),0),AT$2),"")</f>
        <v/>
      </c>
      <c r="AX44" s="11" t="str">
        <f t="shared" ref="AX44:BM55" ca="1" si="91">IFERROR(INDEX(INDIRECT(AX$1,TRUE),MATCH($AW44,INDIRECT(AX$2,TRUE),0)),"")</f>
        <v/>
      </c>
      <c r="AY44" s="11" t="str">
        <f t="shared" ca="1" si="75"/>
        <v/>
      </c>
      <c r="AZ44" s="11" t="str">
        <f t="shared" ca="1" si="75"/>
        <v/>
      </c>
      <c r="BA44" s="11" t="str">
        <f t="shared" ca="1" si="75"/>
        <v/>
      </c>
      <c r="BB44" s="11" t="str">
        <f t="shared" ca="1" si="75"/>
        <v/>
      </c>
      <c r="BC44" s="11" t="str">
        <f t="shared" ca="1" si="75"/>
        <v/>
      </c>
      <c r="BD44" s="11" t="str">
        <f t="shared" ca="1" si="75"/>
        <v/>
      </c>
      <c r="BE44" s="11" t="str">
        <f t="shared" ca="1" si="89"/>
        <v/>
      </c>
      <c r="BF44" s="11" t="str">
        <f t="shared" ca="1" si="89"/>
        <v/>
      </c>
      <c r="BG44" s="11" t="str">
        <f t="shared" ca="1" si="89"/>
        <v/>
      </c>
      <c r="BH44" s="11" t="str">
        <f t="shared" ca="1" si="89"/>
        <v/>
      </c>
      <c r="BI44" s="11" t="str">
        <f t="shared" ca="1" si="89"/>
        <v/>
      </c>
      <c r="BJ44" s="11" t="str">
        <f t="shared" ca="1" si="89"/>
        <v/>
      </c>
      <c r="BK44" s="11" t="str">
        <f t="shared" ca="1" si="89"/>
        <v/>
      </c>
      <c r="BL44" s="11" t="str">
        <f t="shared" ca="1" si="89"/>
        <v/>
      </c>
      <c r="BM44" s="11" t="str">
        <f t="shared" ca="1" si="89"/>
        <v/>
      </c>
      <c r="BN44" s="11" t="str">
        <f t="shared" ca="1" si="89"/>
        <v/>
      </c>
      <c r="BO44" s="11" t="str">
        <f t="shared" ca="1" si="89"/>
        <v/>
      </c>
      <c r="BP44" s="11" t="str">
        <f t="shared" ca="1" si="89"/>
        <v/>
      </c>
      <c r="BQ44" s="11" t="str">
        <f t="shared" ca="1" si="89"/>
        <v/>
      </c>
      <c r="BR44" s="11" t="str">
        <f t="shared" ca="1" si="89"/>
        <v/>
      </c>
      <c r="BS44" s="11" t="str">
        <f t="shared" ca="1" si="89"/>
        <v/>
      </c>
      <c r="BT44" s="11" t="str">
        <f t="shared" ca="1" si="89"/>
        <v/>
      </c>
      <c r="BU44" s="11" t="str">
        <f t="shared" ca="1" si="89"/>
        <v/>
      </c>
      <c r="BV44" s="11" t="str">
        <f t="shared" ca="1" si="89"/>
        <v/>
      </c>
      <c r="BW44" s="11" t="str">
        <f t="shared" ca="1" si="89"/>
        <v/>
      </c>
      <c r="BX44" s="11" t="str">
        <f t="shared" ca="1" si="89"/>
        <v/>
      </c>
      <c r="BY44" s="11" t="str">
        <f t="shared" ca="1" si="89"/>
        <v/>
      </c>
      <c r="BZ44" s="11" t="str">
        <f t="shared" ca="1" si="89"/>
        <v/>
      </c>
    </row>
    <row r="45" spans="1:78">
      <c r="R45" s="4" t="e">
        <f t="shared" ca="1" si="80"/>
        <v>#REF!</v>
      </c>
      <c r="S45" s="4" t="e">
        <f t="shared" ca="1" si="80"/>
        <v>#REF!</v>
      </c>
      <c r="AF45" t="e">
        <f t="shared" ca="1" si="23"/>
        <v>#REF!</v>
      </c>
      <c r="AG45" t="e">
        <f t="shared" ca="1" si="24"/>
        <v>#REF!</v>
      </c>
      <c r="AH45" s="6">
        <v>4</v>
      </c>
      <c r="AI45" s="6" t="e">
        <f t="shared" si="90"/>
        <v>#N/A</v>
      </c>
      <c r="AJ45" s="6" t="s">
        <v>32</v>
      </c>
      <c r="AK45" s="6" t="str" cm="1">
        <f t="array" aca="1" ref="AK45" ca="1">IFERROR(INDEX(INDEX(INDIRECT($A$2&amp;$AI45,TRUE),0),AK$2),"")</f>
        <v/>
      </c>
      <c r="AL45" s="6" t="str" cm="1">
        <f t="array" aca="1" ref="AL45" ca="1">IFERROR(INDEX(INDEX(INDIRECT($A$2&amp;$AI45,TRUE),0),AL$2),"")</f>
        <v/>
      </c>
      <c r="AM45" s="6" t="str" cm="1">
        <f t="array" aca="1" ref="AM45" ca="1">IFERROR(INDEX(INDEX(INDIRECT($A$2&amp;$AI45,TRUE),0),AM$2),"")</f>
        <v/>
      </c>
      <c r="AN45" s="6" t="str" cm="1">
        <f t="array" aca="1" ref="AN45" ca="1">IFERROR(INDEX(INDEX(INDIRECT($A$2&amp;$AI45,TRUE),0),AN$2),"")</f>
        <v/>
      </c>
      <c r="AO45" s="6" t="str" cm="1">
        <f t="array" aca="1" ref="AO45" ca="1">IFERROR(INDEX(INDEX(INDIRECT($A$2&amp;$AI45,TRUE),0),AO$2),"")</f>
        <v/>
      </c>
      <c r="AP45" s="6" t="str" cm="1">
        <f t="array" aca="1" ref="AP45" ca="1">IFERROR(INDEX(INDEX(INDIRECT($A$2&amp;$AI45,TRUE),0),AP$2),"")</f>
        <v/>
      </c>
      <c r="AQ45" s="6" t="str" cm="1">
        <f t="array" aca="1" ref="AQ45" ca="1">IFERROR(INDEX(INDEX(INDIRECT($A$2&amp;$AI45,TRUE),0),AQ$2),"")</f>
        <v/>
      </c>
      <c r="AR45" s="6" t="str" cm="1">
        <f t="array" aca="1" ref="AR45" ca="1">IFERROR(INDEX(INDEX(INDIRECT($A$2&amp;$AI45,TRUE),0),AR$2),"")</f>
        <v/>
      </c>
      <c r="AS45" s="6" t="str" cm="1">
        <f t="array" aca="1" ref="AS45" ca="1">IFERROR(INDEX(INDEX(INDIRECT($A$2&amp;$AI45,TRUE),0),AS$2),"")</f>
        <v/>
      </c>
      <c r="AT45" s="6" t="str" cm="1">
        <f t="array" aca="1" ref="AT45" ca="1">IFERROR(INDEX(INDEX(INDIRECT($A$2&amp;$AI45,TRUE),0),AT$2),"")</f>
        <v/>
      </c>
      <c r="AX45" s="11" t="str">
        <f t="shared" ca="1" si="91"/>
        <v/>
      </c>
      <c r="AY45" s="11" t="str">
        <f t="shared" ca="1" si="91"/>
        <v/>
      </c>
      <c r="AZ45" s="11" t="str">
        <f t="shared" ca="1" si="91"/>
        <v/>
      </c>
      <c r="BA45" s="11" t="str">
        <f t="shared" ca="1" si="91"/>
        <v/>
      </c>
      <c r="BB45" s="11" t="str">
        <f t="shared" ca="1" si="91"/>
        <v/>
      </c>
      <c r="BC45" s="11" t="str">
        <f t="shared" ca="1" si="91"/>
        <v/>
      </c>
      <c r="BD45" s="11" t="str">
        <f t="shared" ca="1" si="91"/>
        <v/>
      </c>
      <c r="BE45" s="11" t="str">
        <f t="shared" ca="1" si="91"/>
        <v/>
      </c>
      <c r="BF45" s="11" t="str">
        <f t="shared" ca="1" si="91"/>
        <v/>
      </c>
      <c r="BG45" s="11" t="str">
        <f t="shared" ca="1" si="91"/>
        <v/>
      </c>
      <c r="BH45" s="11" t="str">
        <f t="shared" ca="1" si="91"/>
        <v/>
      </c>
      <c r="BI45" s="11" t="str">
        <f t="shared" ca="1" si="91"/>
        <v/>
      </c>
      <c r="BJ45" s="11" t="str">
        <f t="shared" ca="1" si="91"/>
        <v/>
      </c>
      <c r="BK45" s="11" t="str">
        <f t="shared" ca="1" si="91"/>
        <v/>
      </c>
      <c r="BL45" s="11" t="str">
        <f t="shared" ca="1" si="91"/>
        <v/>
      </c>
      <c r="BM45" s="11" t="str">
        <f t="shared" ca="1" si="91"/>
        <v/>
      </c>
      <c r="BN45" s="11" t="str">
        <f t="shared" ref="BE45:BZ49" ca="1" si="92">IFERROR(INDEX(INDIRECT(BN$1,TRUE),MATCH($AW45,INDIRECT(BN$2,TRUE),0)),"")</f>
        <v/>
      </c>
      <c r="BO45" s="11" t="str">
        <f t="shared" ca="1" si="92"/>
        <v/>
      </c>
      <c r="BP45" s="11" t="str">
        <f t="shared" ca="1" si="92"/>
        <v/>
      </c>
      <c r="BQ45" s="11" t="str">
        <f t="shared" ca="1" si="92"/>
        <v/>
      </c>
      <c r="BR45" s="11" t="str">
        <f t="shared" ca="1" si="92"/>
        <v/>
      </c>
      <c r="BS45" s="11" t="str">
        <f t="shared" ca="1" si="92"/>
        <v/>
      </c>
      <c r="BT45" s="11" t="str">
        <f t="shared" ca="1" si="92"/>
        <v/>
      </c>
      <c r="BU45" s="11" t="str">
        <f t="shared" ca="1" si="92"/>
        <v/>
      </c>
      <c r="BV45" s="11" t="str">
        <f t="shared" ca="1" si="92"/>
        <v/>
      </c>
      <c r="BW45" s="11" t="str">
        <f t="shared" ca="1" si="92"/>
        <v/>
      </c>
      <c r="BX45" s="11" t="str">
        <f t="shared" ca="1" si="92"/>
        <v/>
      </c>
      <c r="BY45" s="11" t="str">
        <f t="shared" ca="1" si="92"/>
        <v/>
      </c>
      <c r="BZ45" s="11" t="str">
        <f t="shared" ca="1" si="92"/>
        <v/>
      </c>
    </row>
    <row r="46" spans="1:78">
      <c r="B46" s="6"/>
      <c r="R46" s="4" t="e">
        <f t="shared" ca="1" si="80"/>
        <v>#REF!</v>
      </c>
      <c r="S46" s="4" t="e">
        <f t="shared" ca="1" si="80"/>
        <v>#REF!</v>
      </c>
      <c r="AF46" t="e">
        <f t="shared" ca="1" si="23"/>
        <v>#REF!</v>
      </c>
      <c r="AG46" t="e">
        <f t="shared" ca="1" si="24"/>
        <v>#REF!</v>
      </c>
      <c r="AH46" s="6">
        <v>5</v>
      </c>
      <c r="AI46" s="6" t="e">
        <f t="shared" si="90"/>
        <v>#N/A</v>
      </c>
      <c r="AJ46" s="6" t="s">
        <v>37</v>
      </c>
      <c r="AK46" s="6" t="str" cm="1">
        <f t="array" aca="1" ref="AK46" ca="1">IFERROR(INDEX(INDEX(INDIRECT($A$2&amp;$AI46,TRUE),0),AK$2),"")</f>
        <v/>
      </c>
      <c r="AL46" s="6" t="str" cm="1">
        <f t="array" aca="1" ref="AL46" ca="1">IFERROR(INDEX(INDEX(INDIRECT($A$2&amp;$AI46,TRUE),0),AL$2),"")</f>
        <v/>
      </c>
      <c r="AM46" s="6" t="str" cm="1">
        <f t="array" aca="1" ref="AM46" ca="1">IFERROR(INDEX(INDEX(INDIRECT($A$2&amp;$AI46,TRUE),0),AM$2),"")</f>
        <v/>
      </c>
      <c r="AN46" s="6" t="str" cm="1">
        <f t="array" aca="1" ref="AN46" ca="1">IFERROR(INDEX(INDEX(INDIRECT($A$2&amp;$AI46,TRUE),0),AN$2),"")</f>
        <v/>
      </c>
      <c r="AO46" s="6" t="str" cm="1">
        <f t="array" aca="1" ref="AO46" ca="1">IFERROR(INDEX(INDEX(INDIRECT($A$2&amp;$AI46,TRUE),0),AO$2),"")</f>
        <v/>
      </c>
      <c r="AP46" s="6" t="str" cm="1">
        <f t="array" aca="1" ref="AP46" ca="1">IFERROR(INDEX(INDEX(INDIRECT($A$2&amp;$AI46,TRUE),0),AP$2),"")</f>
        <v/>
      </c>
      <c r="AQ46" s="6" t="str" cm="1">
        <f t="array" aca="1" ref="AQ46" ca="1">IFERROR(INDEX(INDEX(INDIRECT($A$2&amp;$AI46,TRUE),0),AQ$2),"")</f>
        <v/>
      </c>
      <c r="AR46" s="6" t="str" cm="1">
        <f t="array" aca="1" ref="AR46" ca="1">IFERROR(INDEX(INDEX(INDIRECT($A$2&amp;$AI46,TRUE),0),AR$2),"")</f>
        <v/>
      </c>
      <c r="AS46" s="6" t="str" cm="1">
        <f t="array" aca="1" ref="AS46" ca="1">IFERROR(INDEX(INDEX(INDIRECT($A$2&amp;$AI46,TRUE),0),AS$2),"")</f>
        <v/>
      </c>
      <c r="AT46" s="6" t="str" cm="1">
        <f t="array" aca="1" ref="AT46" ca="1">IFERROR(INDEX(INDEX(INDIRECT($A$2&amp;$AI46,TRUE),0),AT$2),"")</f>
        <v/>
      </c>
      <c r="AX46" s="11" t="str">
        <f t="shared" ca="1" si="91"/>
        <v/>
      </c>
      <c r="AY46" s="11" t="str">
        <f t="shared" ca="1" si="91"/>
        <v/>
      </c>
      <c r="AZ46" s="11" t="str">
        <f t="shared" ca="1" si="91"/>
        <v/>
      </c>
      <c r="BA46" s="11" t="str">
        <f t="shared" ca="1" si="91"/>
        <v/>
      </c>
      <c r="BB46" s="11" t="str">
        <f t="shared" ca="1" si="91"/>
        <v/>
      </c>
      <c r="BC46" s="11" t="str">
        <f t="shared" ca="1" si="91"/>
        <v/>
      </c>
      <c r="BD46" s="11" t="str">
        <f t="shared" ca="1" si="91"/>
        <v/>
      </c>
      <c r="BE46" s="11" t="str">
        <f t="shared" ca="1" si="92"/>
        <v/>
      </c>
      <c r="BF46" s="11" t="str">
        <f t="shared" ca="1" si="92"/>
        <v/>
      </c>
      <c r="BG46" s="11" t="str">
        <f t="shared" ca="1" si="92"/>
        <v/>
      </c>
      <c r="BH46" s="11" t="str">
        <f t="shared" ca="1" si="92"/>
        <v/>
      </c>
      <c r="BI46" s="11" t="str">
        <f t="shared" ca="1" si="92"/>
        <v/>
      </c>
      <c r="BJ46" s="11" t="str">
        <f t="shared" ca="1" si="92"/>
        <v/>
      </c>
      <c r="BK46" s="11" t="str">
        <f t="shared" ca="1" si="92"/>
        <v/>
      </c>
      <c r="BL46" s="11" t="str">
        <f t="shared" ca="1" si="92"/>
        <v/>
      </c>
      <c r="BM46" s="11" t="str">
        <f t="shared" ca="1" si="92"/>
        <v/>
      </c>
      <c r="BN46" s="11" t="str">
        <f t="shared" ca="1" si="92"/>
        <v/>
      </c>
      <c r="BO46" s="11" t="str">
        <f t="shared" ca="1" si="92"/>
        <v/>
      </c>
      <c r="BP46" s="11" t="str">
        <f t="shared" ca="1" si="92"/>
        <v/>
      </c>
      <c r="BQ46" s="11" t="str">
        <f t="shared" ca="1" si="92"/>
        <v/>
      </c>
      <c r="BR46" s="11" t="str">
        <f t="shared" ca="1" si="92"/>
        <v/>
      </c>
      <c r="BS46" s="11" t="str">
        <f t="shared" ca="1" si="92"/>
        <v/>
      </c>
      <c r="BT46" s="11" t="str">
        <f t="shared" ca="1" si="92"/>
        <v/>
      </c>
      <c r="BU46" s="11" t="str">
        <f t="shared" ca="1" si="92"/>
        <v/>
      </c>
      <c r="BV46" s="11" t="str">
        <f t="shared" ca="1" si="92"/>
        <v/>
      </c>
      <c r="BW46" s="11" t="str">
        <f t="shared" ca="1" si="92"/>
        <v/>
      </c>
      <c r="BX46" s="11" t="str">
        <f t="shared" ca="1" si="92"/>
        <v/>
      </c>
      <c r="BY46" s="11" t="str">
        <f t="shared" ca="1" si="92"/>
        <v/>
      </c>
      <c r="BZ46" s="11" t="str">
        <f t="shared" ca="1" si="92"/>
        <v/>
      </c>
    </row>
    <row r="47" spans="1:78">
      <c r="B47" s="6"/>
      <c r="R47" s="4" t="e">
        <f t="shared" ca="1" si="80"/>
        <v>#REF!</v>
      </c>
      <c r="S47" s="4" t="e">
        <f t="shared" ca="1" si="80"/>
        <v>#REF!</v>
      </c>
      <c r="AF47" t="e">
        <f t="shared" ca="1" si="23"/>
        <v>#REF!</v>
      </c>
      <c r="AG47" t="e">
        <f t="shared" ca="1" si="24"/>
        <v>#REF!</v>
      </c>
      <c r="AH47" s="6">
        <v>6</v>
      </c>
      <c r="AI47" s="6" t="e">
        <f t="shared" si="90"/>
        <v>#N/A</v>
      </c>
      <c r="AJ47" s="6" t="s">
        <v>41</v>
      </c>
      <c r="AK47" s="6" t="str" cm="1">
        <f t="array" aca="1" ref="AK47" ca="1">IFERROR(INDEX(INDEX(INDIRECT($A$2&amp;$AI47,TRUE),0),AK$2),"")</f>
        <v/>
      </c>
      <c r="AL47" s="6" t="str" cm="1">
        <f t="array" aca="1" ref="AL47" ca="1">IFERROR(INDEX(INDEX(INDIRECT($A$2&amp;$AI47,TRUE),0),AL$2),"")</f>
        <v/>
      </c>
      <c r="AM47" s="6" t="str" cm="1">
        <f t="array" aca="1" ref="AM47" ca="1">IFERROR(INDEX(INDEX(INDIRECT($A$2&amp;$AI47,TRUE),0),AM$2),"")</f>
        <v/>
      </c>
      <c r="AN47" s="6" t="str" cm="1">
        <f t="array" aca="1" ref="AN47" ca="1">IFERROR(INDEX(INDEX(INDIRECT($A$2&amp;$AI47,TRUE),0),AN$2),"")</f>
        <v/>
      </c>
      <c r="AO47" s="6" t="str" cm="1">
        <f t="array" aca="1" ref="AO47" ca="1">IFERROR(INDEX(INDEX(INDIRECT($A$2&amp;$AI47,TRUE),0),AO$2),"")</f>
        <v/>
      </c>
      <c r="AP47" s="6" t="str" cm="1">
        <f t="array" aca="1" ref="AP47" ca="1">IFERROR(INDEX(INDEX(INDIRECT($A$2&amp;$AI47,TRUE),0),AP$2),"")</f>
        <v/>
      </c>
      <c r="AQ47" s="6" t="str" cm="1">
        <f t="array" aca="1" ref="AQ47" ca="1">IFERROR(INDEX(INDEX(INDIRECT($A$2&amp;$AI47,TRUE),0),AQ$2),"")</f>
        <v/>
      </c>
      <c r="AR47" s="6" t="str" cm="1">
        <f t="array" aca="1" ref="AR47" ca="1">IFERROR(INDEX(INDEX(INDIRECT($A$2&amp;$AI47,TRUE),0),AR$2),"")</f>
        <v/>
      </c>
      <c r="AS47" s="6" t="str" cm="1">
        <f t="array" aca="1" ref="AS47" ca="1">IFERROR(INDEX(INDEX(INDIRECT($A$2&amp;$AI47,TRUE),0),AS$2),"")</f>
        <v/>
      </c>
      <c r="AT47" s="6" t="str" cm="1">
        <f t="array" aca="1" ref="AT47" ca="1">IFERROR(INDEX(INDEX(INDIRECT($A$2&amp;$AI47,TRUE),0),AT$2),"")</f>
        <v/>
      </c>
      <c r="AX47" s="11" t="str">
        <f t="shared" ca="1" si="91"/>
        <v/>
      </c>
      <c r="AY47" s="11" t="str">
        <f t="shared" ca="1" si="91"/>
        <v/>
      </c>
      <c r="AZ47" s="11" t="str">
        <f t="shared" ca="1" si="91"/>
        <v/>
      </c>
      <c r="BA47" s="11" t="str">
        <f t="shared" ca="1" si="91"/>
        <v/>
      </c>
      <c r="BB47" s="11" t="str">
        <f t="shared" ca="1" si="91"/>
        <v/>
      </c>
      <c r="BC47" s="11" t="str">
        <f t="shared" ca="1" si="91"/>
        <v/>
      </c>
      <c r="BD47" s="11" t="str">
        <f t="shared" ca="1" si="91"/>
        <v/>
      </c>
      <c r="BE47" s="11" t="str">
        <f t="shared" ca="1" si="92"/>
        <v/>
      </c>
      <c r="BF47" s="11" t="str">
        <f t="shared" ca="1" si="92"/>
        <v/>
      </c>
      <c r="BG47" s="11" t="str">
        <f t="shared" ca="1" si="92"/>
        <v/>
      </c>
      <c r="BH47" s="11" t="str">
        <f t="shared" ca="1" si="92"/>
        <v/>
      </c>
      <c r="BI47" s="11" t="str">
        <f t="shared" ca="1" si="92"/>
        <v/>
      </c>
      <c r="BJ47" s="11" t="str">
        <f t="shared" ca="1" si="92"/>
        <v/>
      </c>
      <c r="BK47" s="11" t="str">
        <f t="shared" ca="1" si="92"/>
        <v/>
      </c>
      <c r="BL47" s="11" t="str">
        <f t="shared" ca="1" si="92"/>
        <v/>
      </c>
      <c r="BM47" s="11" t="str">
        <f t="shared" ca="1" si="92"/>
        <v/>
      </c>
      <c r="BN47" s="11" t="str">
        <f t="shared" ca="1" si="92"/>
        <v/>
      </c>
      <c r="BO47" s="11" t="str">
        <f t="shared" ca="1" si="92"/>
        <v/>
      </c>
      <c r="BP47" s="11" t="str">
        <f t="shared" ca="1" si="92"/>
        <v/>
      </c>
      <c r="BQ47" s="11" t="str">
        <f t="shared" ca="1" si="92"/>
        <v/>
      </c>
      <c r="BR47" s="11" t="str">
        <f t="shared" ca="1" si="92"/>
        <v/>
      </c>
      <c r="BS47" s="11" t="str">
        <f t="shared" ca="1" si="92"/>
        <v/>
      </c>
      <c r="BT47" s="11" t="str">
        <f t="shared" ca="1" si="92"/>
        <v/>
      </c>
      <c r="BU47" s="11" t="str">
        <f t="shared" ca="1" si="92"/>
        <v/>
      </c>
      <c r="BV47" s="11" t="str">
        <f t="shared" ca="1" si="92"/>
        <v/>
      </c>
      <c r="BW47" s="11" t="str">
        <f t="shared" ca="1" si="92"/>
        <v/>
      </c>
      <c r="BX47" s="11" t="str">
        <f t="shared" ca="1" si="92"/>
        <v/>
      </c>
      <c r="BY47" s="11" t="str">
        <f t="shared" ca="1" si="92"/>
        <v/>
      </c>
      <c r="BZ47" s="11" t="str">
        <f t="shared" ca="1" si="92"/>
        <v/>
      </c>
    </row>
    <row r="48" spans="1:78">
      <c r="B48" s="6"/>
      <c r="R48" s="4" t="e">
        <f t="shared" ca="1" si="80"/>
        <v>#REF!</v>
      </c>
      <c r="S48" s="4" t="e">
        <f t="shared" ca="1" si="80"/>
        <v>#REF!</v>
      </c>
      <c r="AF48" t="e">
        <f t="shared" ca="1" si="23"/>
        <v>#REF!</v>
      </c>
      <c r="AG48" t="e">
        <f t="shared" ca="1" si="24"/>
        <v>#REF!</v>
      </c>
      <c r="AI48" t="s">
        <v>63</v>
      </c>
      <c r="AJ48" s="8">
        <f>AJ41-1</f>
        <v>-6</v>
      </c>
      <c r="AK48" s="9" t="e">
        <f>" ("&amp;CHOOSE(WEEKDAY(AJ48,1),"日","月","火","水","木","金","土")&amp;")"</f>
        <v>#NUM!</v>
      </c>
      <c r="AL48" s="10"/>
      <c r="AM48" s="10"/>
      <c r="AN48" s="10"/>
      <c r="AO48" s="10"/>
      <c r="AP48" s="10"/>
      <c r="AQ48" s="10"/>
      <c r="AR48" s="10"/>
      <c r="AS48" s="10"/>
      <c r="AT48" s="10"/>
      <c r="AX48" s="11" t="str">
        <f t="shared" ca="1" si="91"/>
        <v/>
      </c>
      <c r="AY48" s="11" t="str">
        <f t="shared" ca="1" si="91"/>
        <v/>
      </c>
      <c r="AZ48" s="11" t="str">
        <f t="shared" ca="1" si="91"/>
        <v/>
      </c>
      <c r="BA48" s="11" t="str">
        <f t="shared" ca="1" si="91"/>
        <v/>
      </c>
      <c r="BB48" s="11" t="str">
        <f t="shared" ca="1" si="91"/>
        <v/>
      </c>
      <c r="BC48" s="11" t="str">
        <f t="shared" ca="1" si="91"/>
        <v/>
      </c>
      <c r="BD48" s="11" t="str">
        <f t="shared" ca="1" si="91"/>
        <v/>
      </c>
      <c r="BE48" s="11" t="str">
        <f t="shared" ca="1" si="92"/>
        <v/>
      </c>
      <c r="BF48" s="11" t="str">
        <f t="shared" ca="1" si="92"/>
        <v/>
      </c>
      <c r="BG48" s="11" t="str">
        <f t="shared" ca="1" si="92"/>
        <v/>
      </c>
      <c r="BH48" s="11" t="str">
        <f t="shared" ca="1" si="92"/>
        <v/>
      </c>
      <c r="BI48" s="11" t="str">
        <f t="shared" ca="1" si="92"/>
        <v/>
      </c>
      <c r="BJ48" s="11" t="str">
        <f t="shared" ca="1" si="92"/>
        <v/>
      </c>
      <c r="BK48" s="11" t="str">
        <f t="shared" ca="1" si="92"/>
        <v/>
      </c>
      <c r="BL48" s="11" t="str">
        <f t="shared" ca="1" si="92"/>
        <v/>
      </c>
      <c r="BM48" s="11" t="str">
        <f t="shared" ca="1" si="92"/>
        <v/>
      </c>
      <c r="BN48" s="11" t="str">
        <f t="shared" ca="1" si="92"/>
        <v/>
      </c>
      <c r="BO48" s="11" t="str">
        <f t="shared" ca="1" si="92"/>
        <v/>
      </c>
      <c r="BP48" s="11" t="str">
        <f t="shared" ca="1" si="92"/>
        <v/>
      </c>
      <c r="BQ48" s="11" t="str">
        <f t="shared" ca="1" si="92"/>
        <v/>
      </c>
      <c r="BR48" s="11" t="str">
        <f t="shared" ca="1" si="92"/>
        <v/>
      </c>
      <c r="BS48" s="11" t="str">
        <f t="shared" ca="1" si="92"/>
        <v/>
      </c>
      <c r="BT48" s="11" t="str">
        <f t="shared" ca="1" si="92"/>
        <v/>
      </c>
      <c r="BU48" s="11" t="str">
        <f t="shared" ca="1" si="92"/>
        <v/>
      </c>
      <c r="BV48" s="11" t="str">
        <f t="shared" ca="1" si="92"/>
        <v/>
      </c>
      <c r="BW48" s="11" t="str">
        <f t="shared" ca="1" si="92"/>
        <v/>
      </c>
      <c r="BX48" s="11" t="str">
        <f t="shared" ca="1" si="92"/>
        <v/>
      </c>
      <c r="BY48" s="11" t="str">
        <f t="shared" ca="1" si="92"/>
        <v/>
      </c>
      <c r="BZ48" s="11" t="str">
        <f t="shared" ca="1" si="92"/>
        <v/>
      </c>
    </row>
    <row r="49" spans="2:78">
      <c r="B49" s="6"/>
      <c r="R49" s="4" t="e">
        <f t="shared" ca="1" si="80"/>
        <v>#REF!</v>
      </c>
      <c r="S49" s="4" t="e">
        <f t="shared" ca="1" si="80"/>
        <v>#REF!</v>
      </c>
      <c r="AF49" t="e">
        <f t="shared" ca="1" si="23"/>
        <v>#REF!</v>
      </c>
      <c r="AG49" t="e">
        <f t="shared" ca="1" si="24"/>
        <v>#REF!</v>
      </c>
      <c r="AH49" s="6">
        <v>1</v>
      </c>
      <c r="AI49" s="6" t="e">
        <f>INDEX($T$4:$AE$32,MATCH($AJ$48,$B$4:$B$34,0),MATCH($AJ49,$T$3:$AE$3,0))</f>
        <v>#N/A</v>
      </c>
      <c r="AJ49" s="6" t="s">
        <v>184</v>
      </c>
      <c r="AK49" s="6" t="str">
        <f ca="1">IFERROR(INDEX(INDEX(INDIRECT($A$2&amp;$AI49,TRUE),0),AK$2),"")</f>
        <v/>
      </c>
      <c r="AL49" s="6" t="str" cm="1">
        <f t="array" aca="1" ref="AL49" ca="1">IFERROR(INDEX(INDEX(INDIRECT($A$2&amp;$AI49,TRUE),0),AL$2),"")</f>
        <v/>
      </c>
      <c r="AM49" s="6" t="str" cm="1">
        <f t="array" aca="1" ref="AM49" ca="1">IFERROR(INDEX(INDEX(INDIRECT($A$2&amp;$AI49,TRUE),0),AM$2),"")</f>
        <v/>
      </c>
      <c r="AN49" s="6" t="str" cm="1">
        <f t="array" aca="1" ref="AN49" ca="1">IFERROR(INDEX(INDEX(INDIRECT($A$2&amp;$AI49,TRUE),0),AN$2),"")</f>
        <v/>
      </c>
      <c r="AO49" s="6" t="str" cm="1">
        <f t="array" aca="1" ref="AO49" ca="1">IFERROR(INDEX(INDEX(INDIRECT($A$2&amp;$AI49,TRUE),0),AO$2),"")</f>
        <v/>
      </c>
      <c r="AP49" s="6" t="str" cm="1">
        <f t="array" aca="1" ref="AP49" ca="1">IFERROR(INDEX(INDEX(INDIRECT($A$2&amp;$AI49,TRUE),0),AP$2),"")</f>
        <v/>
      </c>
      <c r="AQ49" s="6" t="str" cm="1">
        <f t="array" aca="1" ref="AQ49" ca="1">IFERROR(INDEX(INDEX(INDIRECT($A$2&amp;$AI49,TRUE),0),AQ$2),"")</f>
        <v/>
      </c>
      <c r="AR49" s="6" t="str" cm="1">
        <f t="array" aca="1" ref="AR49" ca="1">IFERROR(INDEX(INDEX(INDIRECT($A$2&amp;$AI49,TRUE),0),AR$2),"")</f>
        <v/>
      </c>
      <c r="AS49" s="6" t="str" cm="1">
        <f t="array" aca="1" ref="AS49" ca="1">IFERROR(INDEX(INDEX(INDIRECT($A$2&amp;$AI49,TRUE),0),AS$2),"")</f>
        <v/>
      </c>
      <c r="AT49" s="6" t="str" cm="1">
        <f t="array" aca="1" ref="AT49" ca="1">IFERROR(INDEX(INDEX(INDIRECT($A$2&amp;$AI49,TRUE),0),AT$2),"")</f>
        <v/>
      </c>
      <c r="AX49" s="11" t="str">
        <f t="shared" ca="1" si="91"/>
        <v/>
      </c>
      <c r="AY49" s="11" t="str">
        <f t="shared" ca="1" si="91"/>
        <v/>
      </c>
      <c r="AZ49" s="11" t="str">
        <f t="shared" ca="1" si="91"/>
        <v/>
      </c>
      <c r="BA49" s="11" t="str">
        <f t="shared" ca="1" si="91"/>
        <v/>
      </c>
      <c r="BB49" s="11" t="str">
        <f t="shared" ca="1" si="91"/>
        <v/>
      </c>
      <c r="BC49" s="11" t="str">
        <f t="shared" ca="1" si="91"/>
        <v/>
      </c>
      <c r="BD49" s="11" t="str">
        <f t="shared" ca="1" si="91"/>
        <v/>
      </c>
      <c r="BE49" s="11" t="str">
        <f t="shared" ca="1" si="92"/>
        <v/>
      </c>
      <c r="BF49" s="11" t="str">
        <f t="shared" ca="1" si="92"/>
        <v/>
      </c>
      <c r="BG49" s="11" t="str">
        <f t="shared" ca="1" si="92"/>
        <v/>
      </c>
      <c r="BH49" s="11" t="str">
        <f t="shared" ca="1" si="92"/>
        <v/>
      </c>
      <c r="BI49" s="11" t="str">
        <f t="shared" ca="1" si="92"/>
        <v/>
      </c>
      <c r="BJ49" s="11" t="str">
        <f t="shared" ca="1" si="92"/>
        <v/>
      </c>
      <c r="BK49" s="11" t="str">
        <f t="shared" ca="1" si="92"/>
        <v/>
      </c>
      <c r="BL49" s="11" t="str">
        <f t="shared" ca="1" si="92"/>
        <v/>
      </c>
      <c r="BM49" s="11" t="str">
        <f t="shared" ca="1" si="92"/>
        <v/>
      </c>
      <c r="BN49" s="11" t="str">
        <f t="shared" ca="1" si="92"/>
        <v/>
      </c>
      <c r="BO49" s="11" t="str">
        <f t="shared" ca="1" si="92"/>
        <v/>
      </c>
      <c r="BP49" s="11" t="str">
        <f t="shared" ca="1" si="92"/>
        <v/>
      </c>
      <c r="BQ49" s="11" t="str">
        <f t="shared" ca="1" si="92"/>
        <v/>
      </c>
      <c r="BR49" s="11" t="str">
        <f t="shared" ca="1" si="92"/>
        <v/>
      </c>
      <c r="BS49" s="11" t="str">
        <f t="shared" ca="1" si="92"/>
        <v/>
      </c>
      <c r="BT49" s="11" t="str">
        <f t="shared" ca="1" si="92"/>
        <v/>
      </c>
      <c r="BU49" s="11" t="str">
        <f t="shared" ca="1" si="92"/>
        <v/>
      </c>
      <c r="BV49" s="11" t="str">
        <f t="shared" ca="1" si="92"/>
        <v/>
      </c>
      <c r="BW49" s="11" t="str">
        <f t="shared" ca="1" si="92"/>
        <v/>
      </c>
      <c r="BX49" s="11" t="str">
        <f t="shared" ca="1" si="92"/>
        <v/>
      </c>
      <c r="BY49" s="11" t="str">
        <f t="shared" ca="1" si="92"/>
        <v/>
      </c>
      <c r="BZ49" s="11" t="str">
        <f t="shared" ca="1" si="92"/>
        <v/>
      </c>
    </row>
    <row r="50" spans="2:78">
      <c r="B50" s="6"/>
      <c r="R50" s="4" t="e">
        <f t="shared" ca="1" si="80"/>
        <v>#REF!</v>
      </c>
      <c r="S50" s="4" t="e">
        <f t="shared" ca="1" si="80"/>
        <v>#REF!</v>
      </c>
      <c r="AF50" t="e">
        <f t="shared" ca="1" si="23"/>
        <v>#REF!</v>
      </c>
      <c r="AG50" t="e">
        <f t="shared" ca="1" si="24"/>
        <v>#REF!</v>
      </c>
      <c r="AH50" s="6">
        <v>2</v>
      </c>
      <c r="AI50" s="6" t="e">
        <f t="shared" ref="AI50:AI54" si="93">INDEX($T$4:$AE$32,MATCH($AJ$48,$B$4:$B$34,0),MATCH($AJ50,$T$3:$AE$3,0))</f>
        <v>#N/A</v>
      </c>
      <c r="AJ50" s="6" t="s">
        <v>24</v>
      </c>
      <c r="AK50" s="6" t="str" cm="1">
        <f t="array" aca="1" ref="AK50" ca="1">IFERROR(INDEX(INDEX(INDIRECT($A$2&amp;$AI50,TRUE),0),AK$2),"")</f>
        <v/>
      </c>
      <c r="AL50" s="6" t="str" cm="1">
        <f t="array" aca="1" ref="AL50" ca="1">IFERROR(INDEX(INDEX(INDIRECT($A$2&amp;$AI50,TRUE),0),AL$2),"")</f>
        <v/>
      </c>
      <c r="AM50" s="6" t="str" cm="1">
        <f t="array" aca="1" ref="AM50" ca="1">IFERROR(INDEX(INDEX(INDIRECT($A$2&amp;$AI50,TRUE),0),AM$2),"")</f>
        <v/>
      </c>
      <c r="AN50" s="6" t="str" cm="1">
        <f t="array" aca="1" ref="AN50" ca="1">IFERROR(INDEX(INDEX(INDIRECT($A$2&amp;$AI50,TRUE),0),AN$2),"")</f>
        <v/>
      </c>
      <c r="AO50" s="6" t="str" cm="1">
        <f t="array" aca="1" ref="AO50" ca="1">IFERROR(INDEX(INDEX(INDIRECT($A$2&amp;$AI50,TRUE),0),AO$2),"")</f>
        <v/>
      </c>
      <c r="AP50" s="6" t="str" cm="1">
        <f t="array" aca="1" ref="AP50" ca="1">IFERROR(INDEX(INDEX(INDIRECT($A$2&amp;$AI50,TRUE),0),AP$2),"")</f>
        <v/>
      </c>
      <c r="AQ50" s="6" t="str" cm="1">
        <f t="array" aca="1" ref="AQ50" ca="1">IFERROR(INDEX(INDEX(INDIRECT($A$2&amp;$AI50,TRUE),0),AQ$2),"")</f>
        <v/>
      </c>
      <c r="AR50" s="6" t="str" cm="1">
        <f t="array" aca="1" ref="AR50" ca="1">IFERROR(INDEX(INDEX(INDIRECT($A$2&amp;$AI50,TRUE),0),AR$2),"")</f>
        <v/>
      </c>
      <c r="AS50" s="6" t="str" cm="1">
        <f t="array" aca="1" ref="AS50" ca="1">IFERROR(INDEX(INDEX(INDIRECT($A$2&amp;$AI50,TRUE),0),AS$2),"")</f>
        <v/>
      </c>
      <c r="AT50" s="6" t="str" cm="1">
        <f t="array" aca="1" ref="AT50" ca="1">IFERROR(INDEX(INDEX(INDIRECT($A$2&amp;$AI50,TRUE),0),AT$2),"")</f>
        <v/>
      </c>
      <c r="AX50" s="11" t="str">
        <f t="shared" ca="1" si="91"/>
        <v/>
      </c>
      <c r="AY50" s="11" t="str">
        <f t="shared" ca="1" si="91"/>
        <v/>
      </c>
      <c r="AZ50" s="11" t="str">
        <f t="shared" ca="1" si="91"/>
        <v/>
      </c>
      <c r="BA50" s="11" t="str">
        <f t="shared" ca="1" si="91"/>
        <v/>
      </c>
      <c r="BB50" s="11" t="str">
        <f t="shared" ca="1" si="91"/>
        <v/>
      </c>
      <c r="BC50" s="11" t="str">
        <f t="shared" ca="1" si="91"/>
        <v/>
      </c>
      <c r="BD50" s="11" t="str">
        <f t="shared" ca="1" si="91"/>
        <v/>
      </c>
      <c r="BE50" s="11" t="str">
        <f t="shared" ref="BE50:BZ55" ca="1" si="94">IFERROR(INDEX(INDIRECT(BE$1,TRUE),MATCH($AW50,INDIRECT(BE$2,TRUE),0)),"")</f>
        <v/>
      </c>
      <c r="BF50" s="11" t="str">
        <f t="shared" ca="1" si="94"/>
        <v/>
      </c>
      <c r="BG50" s="11" t="str">
        <f t="shared" ca="1" si="94"/>
        <v/>
      </c>
      <c r="BH50" s="11" t="str">
        <f t="shared" ca="1" si="94"/>
        <v/>
      </c>
      <c r="BI50" s="11" t="str">
        <f t="shared" ca="1" si="94"/>
        <v/>
      </c>
      <c r="BJ50" s="11" t="str">
        <f t="shared" ca="1" si="94"/>
        <v/>
      </c>
      <c r="BK50" s="11" t="str">
        <f t="shared" ca="1" si="94"/>
        <v/>
      </c>
      <c r="BL50" s="11" t="str">
        <f t="shared" ca="1" si="94"/>
        <v/>
      </c>
      <c r="BM50" s="11" t="str">
        <f t="shared" ca="1" si="94"/>
        <v/>
      </c>
      <c r="BN50" s="11" t="str">
        <f t="shared" ca="1" si="94"/>
        <v/>
      </c>
      <c r="BO50" s="11" t="str">
        <f t="shared" ca="1" si="94"/>
        <v/>
      </c>
      <c r="BP50" s="11" t="str">
        <f t="shared" ca="1" si="94"/>
        <v/>
      </c>
      <c r="BQ50" s="11" t="str">
        <f t="shared" ca="1" si="94"/>
        <v/>
      </c>
      <c r="BR50" s="11" t="str">
        <f t="shared" ca="1" si="94"/>
        <v/>
      </c>
      <c r="BS50" s="11" t="str">
        <f t="shared" ca="1" si="94"/>
        <v/>
      </c>
      <c r="BT50" s="11" t="str">
        <f t="shared" ca="1" si="94"/>
        <v/>
      </c>
      <c r="BU50" s="11" t="str">
        <f t="shared" ca="1" si="94"/>
        <v/>
      </c>
      <c r="BV50" s="11" t="str">
        <f t="shared" ca="1" si="94"/>
        <v/>
      </c>
      <c r="BW50" s="11" t="str">
        <f t="shared" ca="1" si="94"/>
        <v/>
      </c>
      <c r="BX50" s="11" t="str">
        <f t="shared" ca="1" si="94"/>
        <v/>
      </c>
      <c r="BY50" s="11" t="str">
        <f t="shared" ca="1" si="94"/>
        <v/>
      </c>
      <c r="BZ50" s="11" t="str">
        <f t="shared" ca="1" si="94"/>
        <v/>
      </c>
    </row>
    <row r="51" spans="2:78">
      <c r="B51" s="6"/>
      <c r="R51" s="4" t="e">
        <f t="shared" ca="1" si="80"/>
        <v>#REF!</v>
      </c>
      <c r="S51" s="4" t="e">
        <f t="shared" ca="1" si="80"/>
        <v>#REF!</v>
      </c>
      <c r="AF51" t="e">
        <f t="shared" ca="1" si="23"/>
        <v>#REF!</v>
      </c>
      <c r="AG51" t="e">
        <f t="shared" ca="1" si="24"/>
        <v>#REF!</v>
      </c>
      <c r="AH51" s="6">
        <v>3</v>
      </c>
      <c r="AI51" s="6" t="e">
        <f t="shared" si="93"/>
        <v>#N/A</v>
      </c>
      <c r="AJ51" s="6" t="s">
        <v>11</v>
      </c>
      <c r="AK51" s="6" t="str" cm="1">
        <f t="array" aca="1" ref="AK51" ca="1">IFERROR(INDEX(INDEX(INDIRECT($A$2&amp;$AI51,TRUE),0),AK$2),"")</f>
        <v/>
      </c>
      <c r="AL51" s="6" t="str" cm="1">
        <f t="array" aca="1" ref="AL51" ca="1">IFERROR(INDEX(INDEX(INDIRECT($A$2&amp;$AI51,TRUE),0),AL$2),"")</f>
        <v/>
      </c>
      <c r="AM51" s="6" t="str" cm="1">
        <f t="array" aca="1" ref="AM51" ca="1">IFERROR(INDEX(INDEX(INDIRECT($A$2&amp;$AI51,TRUE),0),AM$2),"")</f>
        <v/>
      </c>
      <c r="AN51" s="6" t="str" cm="1">
        <f t="array" aca="1" ref="AN51" ca="1">IFERROR(INDEX(INDEX(INDIRECT($A$2&amp;$AI51,TRUE),0),AN$2),"")</f>
        <v/>
      </c>
      <c r="AO51" s="6" t="str" cm="1">
        <f t="array" aca="1" ref="AO51" ca="1">IFERROR(INDEX(INDEX(INDIRECT($A$2&amp;$AI51,TRUE),0),AO$2),"")</f>
        <v/>
      </c>
      <c r="AP51" s="6" t="str" cm="1">
        <f t="array" aca="1" ref="AP51" ca="1">IFERROR(INDEX(INDEX(INDIRECT($A$2&amp;$AI51,TRUE),0),AP$2),"")</f>
        <v/>
      </c>
      <c r="AQ51" s="6" t="str" cm="1">
        <f t="array" aca="1" ref="AQ51" ca="1">IFERROR(INDEX(INDEX(INDIRECT($A$2&amp;$AI51,TRUE),0),AQ$2),"")</f>
        <v/>
      </c>
      <c r="AR51" s="6" t="str" cm="1">
        <f t="array" aca="1" ref="AR51" ca="1">IFERROR(INDEX(INDEX(INDIRECT($A$2&amp;$AI51,TRUE),0),AR$2),"")</f>
        <v/>
      </c>
      <c r="AS51" s="6" t="str" cm="1">
        <f t="array" aca="1" ref="AS51" ca="1">IFERROR(INDEX(INDEX(INDIRECT($A$2&amp;$AI51,TRUE),0),AS$2),"")</f>
        <v/>
      </c>
      <c r="AT51" s="6" t="str" cm="1">
        <f t="array" aca="1" ref="AT51" ca="1">IFERROR(INDEX(INDEX(INDIRECT($A$2&amp;$AI51,TRUE),0),AT$2),"")</f>
        <v/>
      </c>
      <c r="AX51" s="11" t="str">
        <f t="shared" ca="1" si="91"/>
        <v/>
      </c>
      <c r="AY51" s="11" t="str">
        <f t="shared" ca="1" si="91"/>
        <v/>
      </c>
      <c r="AZ51" s="11" t="str">
        <f t="shared" ca="1" si="91"/>
        <v/>
      </c>
      <c r="BA51" s="11" t="str">
        <f t="shared" ca="1" si="91"/>
        <v/>
      </c>
      <c r="BB51" s="11" t="str">
        <f t="shared" ca="1" si="91"/>
        <v/>
      </c>
      <c r="BC51" s="11" t="str">
        <f t="shared" ca="1" si="91"/>
        <v/>
      </c>
      <c r="BD51" s="11" t="str">
        <f t="shared" ca="1" si="91"/>
        <v/>
      </c>
      <c r="BE51" s="11" t="str">
        <f t="shared" ca="1" si="94"/>
        <v/>
      </c>
      <c r="BF51" s="11" t="str">
        <f t="shared" ca="1" si="94"/>
        <v/>
      </c>
      <c r="BG51" s="11" t="str">
        <f t="shared" ca="1" si="94"/>
        <v/>
      </c>
      <c r="BH51" s="11" t="str">
        <f t="shared" ca="1" si="94"/>
        <v/>
      </c>
      <c r="BI51" s="11" t="str">
        <f t="shared" ca="1" si="94"/>
        <v/>
      </c>
      <c r="BJ51" s="11" t="str">
        <f t="shared" ca="1" si="94"/>
        <v/>
      </c>
      <c r="BK51" s="11" t="str">
        <f t="shared" ca="1" si="94"/>
        <v/>
      </c>
      <c r="BL51" s="11" t="str">
        <f t="shared" ca="1" si="94"/>
        <v/>
      </c>
      <c r="BM51" s="11" t="str">
        <f t="shared" ca="1" si="94"/>
        <v/>
      </c>
      <c r="BN51" s="11" t="str">
        <f t="shared" ca="1" si="94"/>
        <v/>
      </c>
      <c r="BO51" s="11" t="str">
        <f t="shared" ca="1" si="94"/>
        <v/>
      </c>
      <c r="BP51" s="11" t="str">
        <f t="shared" ca="1" si="94"/>
        <v/>
      </c>
      <c r="BQ51" s="11" t="str">
        <f t="shared" ca="1" si="94"/>
        <v/>
      </c>
      <c r="BR51" s="11" t="str">
        <f t="shared" ca="1" si="94"/>
        <v/>
      </c>
      <c r="BS51" s="11" t="str">
        <f t="shared" ca="1" si="94"/>
        <v/>
      </c>
      <c r="BT51" s="11" t="str">
        <f t="shared" ca="1" si="94"/>
        <v/>
      </c>
      <c r="BU51" s="11" t="str">
        <f t="shared" ca="1" si="94"/>
        <v/>
      </c>
      <c r="BV51" s="11" t="str">
        <f t="shared" ca="1" si="94"/>
        <v/>
      </c>
      <c r="BW51" s="11" t="str">
        <f t="shared" ca="1" si="94"/>
        <v/>
      </c>
      <c r="BX51" s="11" t="str">
        <f t="shared" ca="1" si="94"/>
        <v/>
      </c>
      <c r="BY51" s="11" t="str">
        <f t="shared" ca="1" si="94"/>
        <v/>
      </c>
      <c r="BZ51" s="11" t="str">
        <f t="shared" ca="1" si="94"/>
        <v/>
      </c>
    </row>
    <row r="52" spans="2:78">
      <c r="B52" s="6"/>
      <c r="R52" s="4" t="e">
        <f t="shared" ca="1" si="80"/>
        <v>#REF!</v>
      </c>
      <c r="S52" s="4" t="e">
        <f t="shared" ca="1" si="80"/>
        <v>#REF!</v>
      </c>
      <c r="AF52" t="e">
        <f t="shared" ca="1" si="23"/>
        <v>#REF!</v>
      </c>
      <c r="AG52" t="e">
        <f t="shared" ca="1" si="24"/>
        <v>#REF!</v>
      </c>
      <c r="AH52" s="6">
        <v>4</v>
      </c>
      <c r="AI52" s="6" t="e">
        <f t="shared" si="93"/>
        <v>#N/A</v>
      </c>
      <c r="AJ52" s="6" t="s">
        <v>32</v>
      </c>
      <c r="AK52" s="6" t="str" cm="1">
        <f t="array" aca="1" ref="AK52" ca="1">IFERROR(INDEX(INDEX(INDIRECT($A$2&amp;$AI52,TRUE),0),AK$2),"")</f>
        <v/>
      </c>
      <c r="AL52" s="6" t="str" cm="1">
        <f t="array" aca="1" ref="AL52" ca="1">IFERROR(INDEX(INDEX(INDIRECT($A$2&amp;$AI52,TRUE),0),AL$2),"")</f>
        <v/>
      </c>
      <c r="AM52" s="6" t="str" cm="1">
        <f t="array" aca="1" ref="AM52" ca="1">IFERROR(INDEX(INDEX(INDIRECT($A$2&amp;$AI52,TRUE),0),AM$2),"")</f>
        <v/>
      </c>
      <c r="AN52" s="6" t="str" cm="1">
        <f t="array" aca="1" ref="AN52" ca="1">IFERROR(INDEX(INDEX(INDIRECT($A$2&amp;$AI52,TRUE),0),AN$2),"")</f>
        <v/>
      </c>
      <c r="AO52" s="6" t="str" cm="1">
        <f t="array" aca="1" ref="AO52" ca="1">IFERROR(INDEX(INDEX(INDIRECT($A$2&amp;$AI52,TRUE),0),AO$2),"")</f>
        <v/>
      </c>
      <c r="AP52" s="6" t="str" cm="1">
        <f t="array" aca="1" ref="AP52" ca="1">IFERROR(INDEX(INDEX(INDIRECT($A$2&amp;$AI52,TRUE),0),AP$2),"")</f>
        <v/>
      </c>
      <c r="AQ52" s="6" t="str" cm="1">
        <f t="array" aca="1" ref="AQ52" ca="1">IFERROR(INDEX(INDEX(INDIRECT($A$2&amp;$AI52,TRUE),0),AQ$2),"")</f>
        <v/>
      </c>
      <c r="AR52" s="6" t="str" cm="1">
        <f t="array" aca="1" ref="AR52" ca="1">IFERROR(INDEX(INDEX(INDIRECT($A$2&amp;$AI52,TRUE),0),AR$2),"")</f>
        <v/>
      </c>
      <c r="AS52" s="6" t="str" cm="1">
        <f t="array" aca="1" ref="AS52" ca="1">IFERROR(INDEX(INDEX(INDIRECT($A$2&amp;$AI52,TRUE),0),AS$2),"")</f>
        <v/>
      </c>
      <c r="AT52" s="6" t="str" cm="1">
        <f t="array" aca="1" ref="AT52" ca="1">IFERROR(INDEX(INDEX(INDIRECT($A$2&amp;$AI52,TRUE),0),AT$2),"")</f>
        <v/>
      </c>
      <c r="AX52" s="11" t="str">
        <f t="shared" ca="1" si="91"/>
        <v/>
      </c>
      <c r="AY52" s="11" t="str">
        <f t="shared" ca="1" si="91"/>
        <v/>
      </c>
      <c r="AZ52" s="11" t="str">
        <f t="shared" ca="1" si="91"/>
        <v/>
      </c>
      <c r="BA52" s="11" t="str">
        <f t="shared" ca="1" si="91"/>
        <v/>
      </c>
      <c r="BB52" s="11" t="str">
        <f t="shared" ca="1" si="91"/>
        <v/>
      </c>
      <c r="BC52" s="11" t="str">
        <f t="shared" ca="1" si="91"/>
        <v/>
      </c>
      <c r="BD52" s="11" t="str">
        <f t="shared" ca="1" si="91"/>
        <v/>
      </c>
      <c r="BE52" s="11" t="str">
        <f t="shared" ca="1" si="94"/>
        <v/>
      </c>
      <c r="BF52" s="11" t="str">
        <f t="shared" ca="1" si="94"/>
        <v/>
      </c>
      <c r="BG52" s="11" t="str">
        <f t="shared" ca="1" si="94"/>
        <v/>
      </c>
      <c r="BH52" s="11" t="str">
        <f t="shared" ca="1" si="94"/>
        <v/>
      </c>
      <c r="BI52" s="11" t="str">
        <f t="shared" ca="1" si="94"/>
        <v/>
      </c>
      <c r="BJ52" s="11" t="str">
        <f t="shared" ca="1" si="94"/>
        <v/>
      </c>
      <c r="BK52" s="11" t="str">
        <f t="shared" ca="1" si="94"/>
        <v/>
      </c>
      <c r="BL52" s="11" t="str">
        <f t="shared" ca="1" si="94"/>
        <v/>
      </c>
      <c r="BM52" s="11" t="str">
        <f t="shared" ca="1" si="94"/>
        <v/>
      </c>
      <c r="BN52" s="11" t="str">
        <f t="shared" ca="1" si="94"/>
        <v/>
      </c>
      <c r="BO52" s="11" t="str">
        <f t="shared" ca="1" si="94"/>
        <v/>
      </c>
      <c r="BP52" s="11" t="str">
        <f t="shared" ca="1" si="94"/>
        <v/>
      </c>
      <c r="BQ52" s="11" t="str">
        <f t="shared" ca="1" si="94"/>
        <v/>
      </c>
      <c r="BR52" s="11" t="str">
        <f t="shared" ca="1" si="94"/>
        <v/>
      </c>
      <c r="BS52" s="11" t="str">
        <f t="shared" ca="1" si="94"/>
        <v/>
      </c>
      <c r="BT52" s="11" t="str">
        <f t="shared" ca="1" si="94"/>
        <v/>
      </c>
      <c r="BU52" s="11" t="str">
        <f t="shared" ca="1" si="94"/>
        <v/>
      </c>
      <c r="BV52" s="11" t="str">
        <f t="shared" ca="1" si="94"/>
        <v/>
      </c>
      <c r="BW52" s="11" t="str">
        <f t="shared" ca="1" si="94"/>
        <v/>
      </c>
      <c r="BX52" s="11" t="str">
        <f t="shared" ca="1" si="94"/>
        <v/>
      </c>
      <c r="BY52" s="11" t="str">
        <f t="shared" ca="1" si="94"/>
        <v/>
      </c>
      <c r="BZ52" s="11" t="str">
        <f t="shared" ca="1" si="94"/>
        <v/>
      </c>
    </row>
    <row r="53" spans="2:78">
      <c r="B53" s="6"/>
      <c r="R53" s="4" t="e">
        <f t="shared" ca="1" si="80"/>
        <v>#REF!</v>
      </c>
      <c r="S53" s="4" t="e">
        <f t="shared" ca="1" si="80"/>
        <v>#REF!</v>
      </c>
      <c r="AF53" t="e">
        <f t="shared" ca="1" si="23"/>
        <v>#REF!</v>
      </c>
      <c r="AG53" t="e">
        <f t="shared" ca="1" si="24"/>
        <v>#REF!</v>
      </c>
      <c r="AH53" s="6">
        <v>5</v>
      </c>
      <c r="AI53" s="6" t="e">
        <f t="shared" si="93"/>
        <v>#N/A</v>
      </c>
      <c r="AJ53" s="6" t="s">
        <v>37</v>
      </c>
      <c r="AK53" s="6" t="str" cm="1">
        <f t="array" aca="1" ref="AK53" ca="1">IFERROR(INDEX(INDEX(INDIRECT($A$2&amp;$AI53,TRUE),0),AK$2),"")</f>
        <v/>
      </c>
      <c r="AL53" s="6" t="str" cm="1">
        <f t="array" aca="1" ref="AL53" ca="1">IFERROR(INDEX(INDEX(INDIRECT($A$2&amp;$AI53,TRUE),0),AL$2),"")</f>
        <v/>
      </c>
      <c r="AM53" s="6" t="str" cm="1">
        <f t="array" aca="1" ref="AM53" ca="1">IFERROR(INDEX(INDEX(INDIRECT($A$2&amp;$AI53,TRUE),0),AM$2),"")</f>
        <v/>
      </c>
      <c r="AN53" s="6" t="str" cm="1">
        <f t="array" aca="1" ref="AN53" ca="1">IFERROR(INDEX(INDEX(INDIRECT($A$2&amp;$AI53,TRUE),0),AN$2),"")</f>
        <v/>
      </c>
      <c r="AO53" s="6" t="str" cm="1">
        <f t="array" aca="1" ref="AO53" ca="1">IFERROR(INDEX(INDEX(INDIRECT($A$2&amp;$AI53,TRUE),0),AO$2),"")</f>
        <v/>
      </c>
      <c r="AP53" s="6" t="str" cm="1">
        <f t="array" aca="1" ref="AP53" ca="1">IFERROR(INDEX(INDEX(INDIRECT($A$2&amp;$AI53,TRUE),0),AP$2),"")</f>
        <v/>
      </c>
      <c r="AQ53" s="6" t="str" cm="1">
        <f t="array" aca="1" ref="AQ53" ca="1">IFERROR(INDEX(INDEX(INDIRECT($A$2&amp;$AI53,TRUE),0),AQ$2),"")</f>
        <v/>
      </c>
      <c r="AR53" s="6" t="str" cm="1">
        <f t="array" aca="1" ref="AR53" ca="1">IFERROR(INDEX(INDEX(INDIRECT($A$2&amp;$AI53,TRUE),0),AR$2),"")</f>
        <v/>
      </c>
      <c r="AS53" s="6" t="str" cm="1">
        <f t="array" aca="1" ref="AS53" ca="1">IFERROR(INDEX(INDEX(INDIRECT($A$2&amp;$AI53,TRUE),0),AS$2),"")</f>
        <v/>
      </c>
      <c r="AT53" s="6" t="str" cm="1">
        <f t="array" aca="1" ref="AT53" ca="1">IFERROR(INDEX(INDEX(INDIRECT($A$2&amp;$AI53,TRUE),0),AT$2),"")</f>
        <v/>
      </c>
      <c r="AX53" s="11" t="str">
        <f t="shared" ca="1" si="91"/>
        <v/>
      </c>
      <c r="AY53" s="11" t="str">
        <f t="shared" ca="1" si="91"/>
        <v/>
      </c>
      <c r="AZ53" s="11" t="str">
        <f t="shared" ca="1" si="91"/>
        <v/>
      </c>
      <c r="BA53" s="11" t="str">
        <f t="shared" ca="1" si="91"/>
        <v/>
      </c>
      <c r="BB53" s="11" t="str">
        <f t="shared" ca="1" si="91"/>
        <v/>
      </c>
      <c r="BC53" s="11" t="str">
        <f t="shared" ca="1" si="91"/>
        <v/>
      </c>
      <c r="BD53" s="11" t="str">
        <f t="shared" ca="1" si="91"/>
        <v/>
      </c>
      <c r="BE53" s="11" t="str">
        <f t="shared" ca="1" si="94"/>
        <v/>
      </c>
      <c r="BF53" s="11" t="str">
        <f t="shared" ca="1" si="94"/>
        <v/>
      </c>
      <c r="BG53" s="11" t="str">
        <f t="shared" ca="1" si="94"/>
        <v/>
      </c>
      <c r="BH53" s="11" t="str">
        <f t="shared" ca="1" si="94"/>
        <v/>
      </c>
      <c r="BI53" s="11" t="str">
        <f t="shared" ca="1" si="94"/>
        <v/>
      </c>
      <c r="BJ53" s="11" t="str">
        <f t="shared" ca="1" si="94"/>
        <v/>
      </c>
      <c r="BK53" s="11" t="str">
        <f t="shared" ca="1" si="94"/>
        <v/>
      </c>
      <c r="BL53" s="11" t="str">
        <f t="shared" ca="1" si="94"/>
        <v/>
      </c>
      <c r="BM53" s="11" t="str">
        <f t="shared" ca="1" si="94"/>
        <v/>
      </c>
      <c r="BN53" s="11" t="str">
        <f t="shared" ca="1" si="94"/>
        <v/>
      </c>
      <c r="BO53" s="11" t="str">
        <f t="shared" ca="1" si="94"/>
        <v/>
      </c>
      <c r="BP53" s="11" t="str">
        <f t="shared" ca="1" si="94"/>
        <v/>
      </c>
      <c r="BQ53" s="11" t="str">
        <f t="shared" ca="1" si="94"/>
        <v/>
      </c>
      <c r="BR53" s="11" t="str">
        <f t="shared" ca="1" si="94"/>
        <v/>
      </c>
      <c r="BS53" s="11" t="str">
        <f t="shared" ca="1" si="94"/>
        <v/>
      </c>
      <c r="BT53" s="11" t="str">
        <f t="shared" ca="1" si="94"/>
        <v/>
      </c>
      <c r="BU53" s="11" t="str">
        <f t="shared" ca="1" si="94"/>
        <v/>
      </c>
      <c r="BV53" s="11" t="str">
        <f t="shared" ca="1" si="94"/>
        <v/>
      </c>
      <c r="BW53" s="11" t="str">
        <f t="shared" ca="1" si="94"/>
        <v/>
      </c>
      <c r="BX53" s="11" t="str">
        <f t="shared" ca="1" si="94"/>
        <v/>
      </c>
      <c r="BY53" s="11" t="str">
        <f t="shared" ca="1" si="94"/>
        <v/>
      </c>
      <c r="BZ53" s="11" t="str">
        <f t="shared" ca="1" si="94"/>
        <v/>
      </c>
    </row>
    <row r="54" spans="2:78">
      <c r="R54" s="4" t="e">
        <f t="shared" ca="1" si="80"/>
        <v>#REF!</v>
      </c>
      <c r="S54" s="4" t="e">
        <f t="shared" ca="1" si="80"/>
        <v>#REF!</v>
      </c>
      <c r="AF54" t="e">
        <f t="shared" ca="1" si="23"/>
        <v>#REF!</v>
      </c>
      <c r="AG54" t="e">
        <f t="shared" ca="1" si="24"/>
        <v>#REF!</v>
      </c>
      <c r="AH54" s="6">
        <v>6</v>
      </c>
      <c r="AI54" s="6" t="e">
        <f t="shared" si="93"/>
        <v>#N/A</v>
      </c>
      <c r="AJ54" s="6" t="s">
        <v>41</v>
      </c>
      <c r="AK54" s="6" t="str" cm="1">
        <f t="array" aca="1" ref="AK54" ca="1">IFERROR(INDEX(INDEX(INDIRECT($A$2&amp;$AI54,TRUE),0),AK$2),"")</f>
        <v/>
      </c>
      <c r="AL54" s="6" t="str" cm="1">
        <f t="array" aca="1" ref="AL54" ca="1">IFERROR(INDEX(INDEX(INDIRECT($A$2&amp;$AI54,TRUE),0),AL$2),"")</f>
        <v/>
      </c>
      <c r="AM54" s="6" t="str" cm="1">
        <f t="array" aca="1" ref="AM54" ca="1">IFERROR(INDEX(INDEX(INDIRECT($A$2&amp;$AI54,TRUE),0),AM$2),"")</f>
        <v/>
      </c>
      <c r="AN54" s="6" t="str" cm="1">
        <f t="array" aca="1" ref="AN54" ca="1">IFERROR(INDEX(INDEX(INDIRECT($A$2&amp;$AI54,TRUE),0),AN$2),"")</f>
        <v/>
      </c>
      <c r="AO54" s="6" t="str" cm="1">
        <f t="array" aca="1" ref="AO54" ca="1">IFERROR(INDEX(INDEX(INDIRECT($A$2&amp;$AI54,TRUE),0),AO$2),"")</f>
        <v/>
      </c>
      <c r="AP54" s="6" t="str" cm="1">
        <f t="array" aca="1" ref="AP54" ca="1">IFERROR(INDEX(INDEX(INDIRECT($A$2&amp;$AI54,TRUE),0),AP$2),"")</f>
        <v/>
      </c>
      <c r="AQ54" s="6" t="str" cm="1">
        <f t="array" aca="1" ref="AQ54" ca="1">IFERROR(INDEX(INDEX(INDIRECT($A$2&amp;$AI54,TRUE),0),AQ$2),"")</f>
        <v/>
      </c>
      <c r="AR54" s="6" t="str" cm="1">
        <f t="array" aca="1" ref="AR54" ca="1">IFERROR(INDEX(INDEX(INDIRECT($A$2&amp;$AI54,TRUE),0),AR$2),"")</f>
        <v/>
      </c>
      <c r="AS54" s="6" t="str" cm="1">
        <f t="array" aca="1" ref="AS54" ca="1">IFERROR(INDEX(INDEX(INDIRECT($A$2&amp;$AI54,TRUE),0),AS$2),"")</f>
        <v/>
      </c>
      <c r="AT54" s="6" t="str" cm="1">
        <f t="array" aca="1" ref="AT54" ca="1">IFERROR(INDEX(INDEX(INDIRECT($A$2&amp;$AI54,TRUE),0),AT$2),"")</f>
        <v/>
      </c>
      <c r="AX54" s="11" t="str">
        <f t="shared" ca="1" si="91"/>
        <v/>
      </c>
      <c r="AY54" s="11" t="str">
        <f t="shared" ca="1" si="91"/>
        <v/>
      </c>
      <c r="AZ54" s="11" t="str">
        <f t="shared" ca="1" si="91"/>
        <v/>
      </c>
      <c r="BA54" s="11" t="str">
        <f t="shared" ca="1" si="91"/>
        <v/>
      </c>
      <c r="BB54" s="11" t="str">
        <f t="shared" ca="1" si="91"/>
        <v/>
      </c>
      <c r="BC54" s="11" t="str">
        <f t="shared" ca="1" si="91"/>
        <v/>
      </c>
      <c r="BD54" s="11" t="str">
        <f t="shared" ca="1" si="91"/>
        <v/>
      </c>
      <c r="BE54" s="11" t="str">
        <f t="shared" ca="1" si="94"/>
        <v/>
      </c>
      <c r="BF54" s="11" t="str">
        <f t="shared" ca="1" si="94"/>
        <v/>
      </c>
      <c r="BG54" s="11" t="str">
        <f t="shared" ca="1" si="94"/>
        <v/>
      </c>
      <c r="BH54" s="11" t="str">
        <f t="shared" ca="1" si="94"/>
        <v/>
      </c>
      <c r="BI54" s="11" t="str">
        <f t="shared" ca="1" si="94"/>
        <v/>
      </c>
      <c r="BJ54" s="11" t="str">
        <f t="shared" ca="1" si="94"/>
        <v/>
      </c>
      <c r="BK54" s="11" t="str">
        <f t="shared" ca="1" si="94"/>
        <v/>
      </c>
      <c r="BL54" s="11" t="str">
        <f t="shared" ca="1" si="94"/>
        <v/>
      </c>
      <c r="BM54" s="11" t="str">
        <f t="shared" ca="1" si="94"/>
        <v/>
      </c>
      <c r="BN54" s="11" t="str">
        <f t="shared" ca="1" si="94"/>
        <v/>
      </c>
      <c r="BO54" s="11" t="str">
        <f t="shared" ca="1" si="94"/>
        <v/>
      </c>
      <c r="BP54" s="11" t="str">
        <f t="shared" ca="1" si="94"/>
        <v/>
      </c>
      <c r="BQ54" s="11" t="str">
        <f t="shared" ca="1" si="94"/>
        <v/>
      </c>
      <c r="BR54" s="11" t="str">
        <f t="shared" ca="1" si="94"/>
        <v/>
      </c>
      <c r="BS54" s="11" t="str">
        <f t="shared" ca="1" si="94"/>
        <v/>
      </c>
      <c r="BT54" s="11" t="str">
        <f t="shared" ca="1" si="94"/>
        <v/>
      </c>
      <c r="BU54" s="11" t="str">
        <f t="shared" ca="1" si="94"/>
        <v/>
      </c>
      <c r="BV54" s="11" t="str">
        <f t="shared" ca="1" si="94"/>
        <v/>
      </c>
      <c r="BW54" s="11" t="str">
        <f t="shared" ca="1" si="94"/>
        <v/>
      </c>
      <c r="BX54" s="11" t="str">
        <f t="shared" ca="1" si="94"/>
        <v/>
      </c>
      <c r="BY54" s="11" t="str">
        <f t="shared" ca="1" si="94"/>
        <v/>
      </c>
      <c r="BZ54" s="11" t="str">
        <f t="shared" ca="1" si="94"/>
        <v/>
      </c>
    </row>
    <row r="55" spans="2:78">
      <c r="AI55" t="s">
        <v>63</v>
      </c>
      <c r="AJ55" s="8">
        <f>AJ48-1</f>
        <v>-7</v>
      </c>
      <c r="AK55" s="9" t="e">
        <f>" ("&amp;CHOOSE(WEEKDAY(AJ55,1),"日","月","火","水","木","金","土")&amp;")"</f>
        <v>#NUM!</v>
      </c>
      <c r="AL55" s="10"/>
      <c r="AM55" s="10"/>
      <c r="AN55" s="10"/>
      <c r="AO55" s="10"/>
      <c r="AP55" s="10"/>
      <c r="AQ55" s="10"/>
      <c r="AR55" s="10"/>
      <c r="AS55" s="10"/>
      <c r="AT55" s="10"/>
      <c r="AX55" s="11" t="str">
        <f t="shared" ca="1" si="91"/>
        <v/>
      </c>
      <c r="AY55" s="11" t="str">
        <f t="shared" ca="1" si="91"/>
        <v/>
      </c>
      <c r="AZ55" s="11" t="str">
        <f t="shared" ca="1" si="91"/>
        <v/>
      </c>
      <c r="BA55" s="11" t="str">
        <f t="shared" ca="1" si="91"/>
        <v/>
      </c>
      <c r="BB55" s="11" t="str">
        <f t="shared" ca="1" si="91"/>
        <v/>
      </c>
      <c r="BC55" s="11" t="str">
        <f t="shared" ca="1" si="91"/>
        <v/>
      </c>
      <c r="BD55" s="11" t="str">
        <f t="shared" ca="1" si="91"/>
        <v/>
      </c>
      <c r="BE55" s="11" t="str">
        <f t="shared" ca="1" si="94"/>
        <v/>
      </c>
      <c r="BF55" s="11" t="str">
        <f t="shared" ca="1" si="94"/>
        <v/>
      </c>
      <c r="BG55" s="11" t="str">
        <f t="shared" ca="1" si="94"/>
        <v/>
      </c>
      <c r="BH55" s="11" t="str">
        <f t="shared" ca="1" si="94"/>
        <v/>
      </c>
      <c r="BI55" s="11" t="str">
        <f t="shared" ca="1" si="94"/>
        <v/>
      </c>
      <c r="BJ55" s="11" t="str">
        <f t="shared" ca="1" si="94"/>
        <v/>
      </c>
      <c r="BK55" s="11" t="str">
        <f t="shared" ca="1" si="94"/>
        <v/>
      </c>
      <c r="BL55" s="11" t="str">
        <f t="shared" ca="1" si="94"/>
        <v/>
      </c>
      <c r="BM55" s="11" t="str">
        <f t="shared" ca="1" si="94"/>
        <v/>
      </c>
      <c r="BN55" s="11" t="str">
        <f t="shared" ca="1" si="94"/>
        <v/>
      </c>
      <c r="BO55" s="11" t="str">
        <f t="shared" ca="1" si="94"/>
        <v/>
      </c>
      <c r="BP55" s="11" t="str">
        <f t="shared" ca="1" si="94"/>
        <v/>
      </c>
      <c r="BQ55" s="11" t="str">
        <f t="shared" ca="1" si="94"/>
        <v/>
      </c>
      <c r="BR55" s="11" t="str">
        <f t="shared" ca="1" si="94"/>
        <v/>
      </c>
      <c r="BS55" s="11" t="str">
        <f t="shared" ca="1" si="94"/>
        <v/>
      </c>
      <c r="BT55" s="11" t="str">
        <f t="shared" ca="1" si="94"/>
        <v/>
      </c>
      <c r="BU55" s="11" t="str">
        <f t="shared" ca="1" si="94"/>
        <v/>
      </c>
      <c r="BV55" s="11" t="str">
        <f t="shared" ca="1" si="94"/>
        <v/>
      </c>
      <c r="BW55" s="11" t="str">
        <f t="shared" ca="1" si="94"/>
        <v/>
      </c>
      <c r="BX55" s="11" t="str">
        <f t="shared" ca="1" si="94"/>
        <v/>
      </c>
      <c r="BY55" s="11" t="str">
        <f t="shared" ca="1" si="94"/>
        <v/>
      </c>
      <c r="BZ55" s="11" t="str">
        <f t="shared" ca="1" si="94"/>
        <v/>
      </c>
    </row>
    <row r="56" spans="2:78">
      <c r="AH56" s="6">
        <v>1</v>
      </c>
      <c r="AI56" s="6" t="e">
        <f>INDEX($T$4:$AE$32,MATCH($AJ$55,$B$4:$B$34,0),MATCH($AJ56,$T$3:$AE$3,0))</f>
        <v>#N/A</v>
      </c>
      <c r="AJ56" s="6" t="s">
        <v>19</v>
      </c>
      <c r="AK56" s="6" t="str" cm="1">
        <f t="array" aca="1" ref="AK56" ca="1">IFERROR(INDEX(INDEX(INDIRECT($A$2&amp;$AI56,TRUE),0),AK$2),"")</f>
        <v/>
      </c>
      <c r="AL56" s="6" t="str" cm="1">
        <f t="array" aca="1" ref="AL56" ca="1">IFERROR(INDEX(INDEX(INDIRECT($A$2&amp;$AI56,TRUE),0),AL$2),"")</f>
        <v/>
      </c>
      <c r="AM56" s="6" t="str" cm="1">
        <f t="array" aca="1" ref="AM56" ca="1">IFERROR(INDEX(INDEX(INDIRECT($A$2&amp;$AI56,TRUE),0),AM$2),"")</f>
        <v/>
      </c>
      <c r="AN56" s="6" t="str" cm="1">
        <f t="array" aca="1" ref="AN56" ca="1">IFERROR(INDEX(INDEX(INDIRECT($A$2&amp;$AI56,TRUE),0),AN$2),"")</f>
        <v/>
      </c>
      <c r="AO56" s="6" t="str" cm="1">
        <f t="array" aca="1" ref="AO56" ca="1">IFERROR(INDEX(INDEX(INDIRECT($A$2&amp;$AI56,TRUE),0),AO$2),"")</f>
        <v/>
      </c>
      <c r="AP56" s="6" t="str" cm="1">
        <f t="array" aca="1" ref="AP56" ca="1">IFERROR(INDEX(INDEX(INDIRECT($A$2&amp;$AI56,TRUE),0),AP$2),"")</f>
        <v/>
      </c>
      <c r="AQ56" s="6" t="str" cm="1">
        <f t="array" aca="1" ref="AQ56" ca="1">IFERROR(INDEX(INDEX(INDIRECT($A$2&amp;$AI56,TRUE),0),AQ$2),"")</f>
        <v/>
      </c>
      <c r="AR56" s="6" t="str" cm="1">
        <f t="array" aca="1" ref="AR56" ca="1">IFERROR(INDEX(INDEX(INDIRECT($A$2&amp;$AI56,TRUE),0),AR$2),"")</f>
        <v/>
      </c>
      <c r="AS56" s="6" t="str" cm="1">
        <f t="array" aca="1" ref="AS56" ca="1">IFERROR(INDEX(INDEX(INDIRECT($A$2&amp;$AI56,TRUE),0),AS$2),"")</f>
        <v/>
      </c>
      <c r="AT56" s="6" t="str" cm="1">
        <f t="array" aca="1" ref="AT56" ca="1">IFERROR(INDEX(INDEX(INDIRECT($A$2&amp;$AI56,TRUE),0),AT$2),"")</f>
        <v/>
      </c>
    </row>
    <row r="57" spans="2:78">
      <c r="AH57" s="6">
        <v>2</v>
      </c>
      <c r="AI57" s="6" t="e">
        <f t="shared" ref="AI57:AI61" si="95">INDEX($T$4:$AE$32,MATCH($AJ$55,$B$4:$B$34,0),MATCH($AJ57,$T$3:$AE$3,0))</f>
        <v>#N/A</v>
      </c>
      <c r="AJ57" s="6" t="s">
        <v>24</v>
      </c>
      <c r="AK57" s="6" t="str" cm="1">
        <f t="array" aca="1" ref="AK57" ca="1">IFERROR(INDEX(INDEX(INDIRECT($A$2&amp;$AI57,TRUE),0),AK$2),"")</f>
        <v/>
      </c>
      <c r="AL57" s="6" t="str" cm="1">
        <f t="array" aca="1" ref="AL57" ca="1">IFERROR(INDEX(INDEX(INDIRECT($A$2&amp;$AI57,TRUE),0),AL$2),"")</f>
        <v/>
      </c>
      <c r="AM57" s="6" t="str" cm="1">
        <f t="array" aca="1" ref="AM57" ca="1">IFERROR(INDEX(INDEX(INDIRECT($A$2&amp;$AI57,TRUE),0),AM$2),"")</f>
        <v/>
      </c>
      <c r="AN57" s="6" t="str" cm="1">
        <f t="array" aca="1" ref="AN57" ca="1">IFERROR(INDEX(INDEX(INDIRECT($A$2&amp;$AI57,TRUE),0),AN$2),"")</f>
        <v/>
      </c>
      <c r="AO57" s="6" t="str" cm="1">
        <f t="array" aca="1" ref="AO57" ca="1">IFERROR(INDEX(INDEX(INDIRECT($A$2&amp;$AI57,TRUE),0),AO$2),"")</f>
        <v/>
      </c>
      <c r="AP57" s="6" t="str" cm="1">
        <f t="array" aca="1" ref="AP57" ca="1">IFERROR(INDEX(INDEX(INDIRECT($A$2&amp;$AI57,TRUE),0),AP$2),"")</f>
        <v/>
      </c>
      <c r="AQ57" s="6" t="str" cm="1">
        <f t="array" aca="1" ref="AQ57" ca="1">IFERROR(INDEX(INDEX(INDIRECT($A$2&amp;$AI57,TRUE),0),AQ$2),"")</f>
        <v/>
      </c>
      <c r="AR57" s="6" t="str" cm="1">
        <f t="array" aca="1" ref="AR57" ca="1">IFERROR(INDEX(INDEX(INDIRECT($A$2&amp;$AI57,TRUE),0),AR$2),"")</f>
        <v/>
      </c>
      <c r="AS57" s="6" t="str" cm="1">
        <f t="array" aca="1" ref="AS57" ca="1">IFERROR(INDEX(INDEX(INDIRECT($A$2&amp;$AI57,TRUE),0),AS$2),"")</f>
        <v/>
      </c>
      <c r="AT57" s="6" t="str" cm="1">
        <f t="array" aca="1" ref="AT57" ca="1">IFERROR(INDEX(INDEX(INDIRECT($A$2&amp;$AI57,TRUE),0),AT$2),"")</f>
        <v/>
      </c>
    </row>
    <row r="58" spans="2:78">
      <c r="AH58" s="6">
        <v>3</v>
      </c>
      <c r="AI58" s="6" t="e">
        <f t="shared" si="95"/>
        <v>#N/A</v>
      </c>
      <c r="AJ58" s="6" t="s">
        <v>11</v>
      </c>
      <c r="AK58" s="6" t="str" cm="1">
        <f t="array" aca="1" ref="AK58" ca="1">IFERROR(INDEX(INDEX(INDIRECT($A$2&amp;$AI58,TRUE),0),AK$2),"")</f>
        <v/>
      </c>
      <c r="AL58" s="6" t="str" cm="1">
        <f t="array" aca="1" ref="AL58" ca="1">IFERROR(INDEX(INDEX(INDIRECT($A$2&amp;$AI58,TRUE),0),AL$2),"")</f>
        <v/>
      </c>
      <c r="AM58" s="6" t="str" cm="1">
        <f t="array" aca="1" ref="AM58" ca="1">IFERROR(INDEX(INDEX(INDIRECT($A$2&amp;$AI58,TRUE),0),AM$2),"")</f>
        <v/>
      </c>
      <c r="AN58" s="6" t="str" cm="1">
        <f t="array" aca="1" ref="AN58" ca="1">IFERROR(INDEX(INDEX(INDIRECT($A$2&amp;$AI58,TRUE),0),AN$2),"")</f>
        <v/>
      </c>
      <c r="AO58" s="6" t="str" cm="1">
        <f t="array" aca="1" ref="AO58" ca="1">IFERROR(INDEX(INDEX(INDIRECT($A$2&amp;$AI58,TRUE),0),AO$2),"")</f>
        <v/>
      </c>
      <c r="AP58" s="6" t="str" cm="1">
        <f t="array" aca="1" ref="AP58" ca="1">IFERROR(INDEX(INDEX(INDIRECT($A$2&amp;$AI58,TRUE),0),AP$2),"")</f>
        <v/>
      </c>
      <c r="AQ58" s="6" t="str" cm="1">
        <f t="array" aca="1" ref="AQ58" ca="1">IFERROR(INDEX(INDEX(INDIRECT($A$2&amp;$AI58,TRUE),0),AQ$2),"")</f>
        <v/>
      </c>
      <c r="AR58" s="6" t="str" cm="1">
        <f t="array" aca="1" ref="AR58" ca="1">IFERROR(INDEX(INDEX(INDIRECT($A$2&amp;$AI58,TRUE),0),AR$2),"")</f>
        <v/>
      </c>
      <c r="AS58" s="6" t="str" cm="1">
        <f t="array" aca="1" ref="AS58" ca="1">IFERROR(INDEX(INDEX(INDIRECT($A$2&amp;$AI58,TRUE),0),AS$2),"")</f>
        <v/>
      </c>
      <c r="AT58" s="6" t="str" cm="1">
        <f t="array" aca="1" ref="AT58" ca="1">IFERROR(INDEX(INDEX(INDIRECT($A$2&amp;$AI58,TRUE),0),AT$2),"")</f>
        <v/>
      </c>
    </row>
    <row r="59" spans="2:78">
      <c r="AH59" s="6">
        <v>4</v>
      </c>
      <c r="AI59" s="6" t="e">
        <f t="shared" si="95"/>
        <v>#N/A</v>
      </c>
      <c r="AJ59" s="6" t="s">
        <v>32</v>
      </c>
      <c r="AK59" s="6" t="str" cm="1">
        <f t="array" aca="1" ref="AK59" ca="1">IFERROR(INDEX(INDEX(INDIRECT($A$2&amp;$AI59,TRUE),0),AK$2),"")</f>
        <v/>
      </c>
      <c r="AL59" s="6" t="str" cm="1">
        <f t="array" aca="1" ref="AL59" ca="1">IFERROR(INDEX(INDEX(INDIRECT($A$2&amp;$AI59,TRUE),0),AL$2),"")</f>
        <v/>
      </c>
      <c r="AM59" s="6" t="str" cm="1">
        <f t="array" aca="1" ref="AM59" ca="1">IFERROR(INDEX(INDEX(INDIRECT($A$2&amp;$AI59,TRUE),0),AM$2),"")</f>
        <v/>
      </c>
      <c r="AN59" s="6" t="str" cm="1">
        <f t="array" aca="1" ref="AN59" ca="1">IFERROR(INDEX(INDEX(INDIRECT($A$2&amp;$AI59,TRUE),0),AN$2),"")</f>
        <v/>
      </c>
      <c r="AO59" s="6" t="str" cm="1">
        <f t="array" aca="1" ref="AO59" ca="1">IFERROR(INDEX(INDEX(INDIRECT($A$2&amp;$AI59,TRUE),0),AO$2),"")</f>
        <v/>
      </c>
      <c r="AP59" s="6" t="str" cm="1">
        <f t="array" aca="1" ref="AP59" ca="1">IFERROR(INDEX(INDEX(INDIRECT($A$2&amp;$AI59,TRUE),0),AP$2),"")</f>
        <v/>
      </c>
      <c r="AQ59" s="6" t="str" cm="1">
        <f t="array" aca="1" ref="AQ59" ca="1">IFERROR(INDEX(INDEX(INDIRECT($A$2&amp;$AI59,TRUE),0),AQ$2),"")</f>
        <v/>
      </c>
      <c r="AR59" s="6" t="str" cm="1">
        <f t="array" aca="1" ref="AR59" ca="1">IFERROR(INDEX(INDEX(INDIRECT($A$2&amp;$AI59,TRUE),0),AR$2),"")</f>
        <v/>
      </c>
      <c r="AS59" s="6" t="str" cm="1">
        <f t="array" aca="1" ref="AS59" ca="1">IFERROR(INDEX(INDEX(INDIRECT($A$2&amp;$AI59,TRUE),0),AS$2),"")</f>
        <v/>
      </c>
      <c r="AT59" s="6" t="str" cm="1">
        <f t="array" aca="1" ref="AT59" ca="1">IFERROR(INDEX(INDEX(INDIRECT($A$2&amp;$AI59,TRUE),0),AT$2),"")</f>
        <v/>
      </c>
    </row>
    <row r="60" spans="2:78">
      <c r="AH60" s="6">
        <v>5</v>
      </c>
      <c r="AI60" s="6" t="e">
        <f t="shared" si="95"/>
        <v>#N/A</v>
      </c>
      <c r="AJ60" s="6" t="s">
        <v>37</v>
      </c>
      <c r="AK60" s="6" t="str" cm="1">
        <f t="array" aca="1" ref="AK60" ca="1">IFERROR(INDEX(INDEX(INDIRECT($A$2&amp;$AI60,TRUE),0),AK$2),"")</f>
        <v/>
      </c>
      <c r="AL60" s="6" t="str" cm="1">
        <f t="array" aca="1" ref="AL60" ca="1">IFERROR(INDEX(INDEX(INDIRECT($A$2&amp;$AI60,TRUE),0),AL$2),"")</f>
        <v/>
      </c>
      <c r="AM60" s="6" t="str" cm="1">
        <f t="array" aca="1" ref="AM60" ca="1">IFERROR(INDEX(INDEX(INDIRECT($A$2&amp;$AI60,TRUE),0),AM$2),"")</f>
        <v/>
      </c>
      <c r="AN60" s="6" t="str" cm="1">
        <f t="array" aca="1" ref="AN60" ca="1">IFERROR(INDEX(INDEX(INDIRECT($A$2&amp;$AI60,TRUE),0),AN$2),"")</f>
        <v/>
      </c>
      <c r="AO60" s="6" t="str" cm="1">
        <f t="array" aca="1" ref="AO60" ca="1">IFERROR(INDEX(INDEX(INDIRECT($A$2&amp;$AI60,TRUE),0),AO$2),"")</f>
        <v/>
      </c>
      <c r="AP60" s="6" t="str" cm="1">
        <f t="array" aca="1" ref="AP60" ca="1">IFERROR(INDEX(INDEX(INDIRECT($A$2&amp;$AI60,TRUE),0),AP$2),"")</f>
        <v/>
      </c>
      <c r="AQ60" s="6" t="str" cm="1">
        <f t="array" aca="1" ref="AQ60" ca="1">IFERROR(INDEX(INDEX(INDIRECT($A$2&amp;$AI60,TRUE),0),AQ$2),"")</f>
        <v/>
      </c>
      <c r="AR60" s="6" t="str" cm="1">
        <f t="array" aca="1" ref="AR60" ca="1">IFERROR(INDEX(INDEX(INDIRECT($A$2&amp;$AI60,TRUE),0),AR$2),"")</f>
        <v/>
      </c>
      <c r="AS60" s="6" t="str" cm="1">
        <f t="array" aca="1" ref="AS60" ca="1">IFERROR(INDEX(INDEX(INDIRECT($A$2&amp;$AI60,TRUE),0),AS$2),"")</f>
        <v/>
      </c>
      <c r="AT60" s="6" t="str" cm="1">
        <f t="array" aca="1" ref="AT60" ca="1">IFERROR(INDEX(INDEX(INDIRECT($A$2&amp;$AI60,TRUE),0),AT$2),"")</f>
        <v/>
      </c>
    </row>
    <row r="61" spans="2:78">
      <c r="AH61" s="6">
        <v>6</v>
      </c>
      <c r="AI61" s="6" t="e">
        <f t="shared" si="95"/>
        <v>#N/A</v>
      </c>
      <c r="AJ61" s="6" t="s">
        <v>41</v>
      </c>
      <c r="AK61" s="6" t="str" cm="1">
        <f t="array" aca="1" ref="AK61" ca="1">IFERROR(INDEX(INDEX(INDIRECT($A$2&amp;$AI61,TRUE),0),AK$2),"")</f>
        <v/>
      </c>
      <c r="AL61" s="6" t="str" cm="1">
        <f t="array" aca="1" ref="AL61" ca="1">IFERROR(INDEX(INDEX(INDIRECT($A$2&amp;$AI61,TRUE),0),AL$2),"")</f>
        <v/>
      </c>
      <c r="AM61" s="6" t="str" cm="1">
        <f t="array" aca="1" ref="AM61" ca="1">IFERROR(INDEX(INDEX(INDIRECT($A$2&amp;$AI61,TRUE),0),AM$2),"")</f>
        <v/>
      </c>
      <c r="AN61" s="6" t="str" cm="1">
        <f t="array" aca="1" ref="AN61" ca="1">IFERROR(INDEX(INDEX(INDIRECT($A$2&amp;$AI61,TRUE),0),AN$2),"")</f>
        <v/>
      </c>
      <c r="AO61" s="6" t="str" cm="1">
        <f t="array" aca="1" ref="AO61" ca="1">IFERROR(INDEX(INDEX(INDIRECT($A$2&amp;$AI61,TRUE),0),AO$2),"")</f>
        <v/>
      </c>
      <c r="AP61" s="6" t="str" cm="1">
        <f t="array" aca="1" ref="AP61" ca="1">IFERROR(INDEX(INDEX(INDIRECT($A$2&amp;$AI61,TRUE),0),AP$2),"")</f>
        <v/>
      </c>
      <c r="AQ61" s="6" t="str" cm="1">
        <f t="array" aca="1" ref="AQ61" ca="1">IFERROR(INDEX(INDEX(INDIRECT($A$2&amp;$AI61,TRUE),0),AQ$2),"")</f>
        <v/>
      </c>
      <c r="AR61" s="6" t="str" cm="1">
        <f t="array" aca="1" ref="AR61" ca="1">IFERROR(INDEX(INDEX(INDIRECT($A$2&amp;$AI61,TRUE),0),AR$2),"")</f>
        <v/>
      </c>
      <c r="AS61" s="6" t="str" cm="1">
        <f t="array" aca="1" ref="AS61" ca="1">IFERROR(INDEX(INDEX(INDIRECT($A$2&amp;$AI61,TRUE),0),AS$2),"")</f>
        <v/>
      </c>
      <c r="AT61" s="6" t="str" cm="1">
        <f t="array" aca="1" ref="AT61" ca="1">IFERROR(INDEX(INDEX(INDIRECT($A$2&amp;$AI61,TRUE),0),AT$2),"")</f>
        <v/>
      </c>
    </row>
    <row r="62" spans="2:78">
      <c r="AI62" t="s">
        <v>63</v>
      </c>
      <c r="AJ62" s="8">
        <f>AJ55-1</f>
        <v>-8</v>
      </c>
      <c r="AK62" s="9" t="e">
        <f>" ("&amp;CHOOSE(WEEKDAY(AJ62,1),"日","月","火","水","木","金","土")&amp;")"</f>
        <v>#NUM!</v>
      </c>
      <c r="AL62" s="10"/>
      <c r="AM62" s="10"/>
      <c r="AN62" s="10"/>
      <c r="AO62" s="10"/>
      <c r="AP62" s="10"/>
      <c r="AQ62" s="10"/>
      <c r="AR62" s="10"/>
      <c r="AS62" s="10"/>
      <c r="AT62" s="10"/>
    </row>
    <row r="63" spans="2:78">
      <c r="AH63" s="6">
        <v>1</v>
      </c>
      <c r="AI63" s="6" t="e">
        <f>INDEX($T$4:$AE$32,MATCH($AJ$62,$B$4:$B$34,0),MATCH($AJ63,$T$3:$AE$3,0))</f>
        <v>#N/A</v>
      </c>
      <c r="AJ63" s="6" t="s">
        <v>19</v>
      </c>
      <c r="AK63" s="6" t="str" cm="1">
        <f t="array" aca="1" ref="AK63" ca="1">IFERROR(INDEX(INDEX(INDIRECT($A$2&amp;$AI63,TRUE),0),AK$2),"")</f>
        <v/>
      </c>
      <c r="AL63" s="6" t="str" cm="1">
        <f t="array" aca="1" ref="AL63" ca="1">IFERROR(INDEX(INDEX(INDIRECT($A$2&amp;$AI63,TRUE),0),AL$2),"")</f>
        <v/>
      </c>
      <c r="AM63" s="6" t="str" cm="1">
        <f t="array" aca="1" ref="AM63" ca="1">IFERROR(INDEX(INDEX(INDIRECT($A$2&amp;$AI63,TRUE),0),AM$2),"")</f>
        <v/>
      </c>
      <c r="AN63" s="6" t="str" cm="1">
        <f t="array" aca="1" ref="AN63" ca="1">IFERROR(INDEX(INDEX(INDIRECT($A$2&amp;$AI63,TRUE),0),AN$2),"")</f>
        <v/>
      </c>
      <c r="AO63" s="6" t="str" cm="1">
        <f t="array" aca="1" ref="AO63" ca="1">IFERROR(INDEX(INDEX(INDIRECT($A$2&amp;$AI63,TRUE),0),AO$2),"")</f>
        <v/>
      </c>
      <c r="AP63" s="6" t="str" cm="1">
        <f t="array" aca="1" ref="AP63" ca="1">IFERROR(INDEX(INDEX(INDIRECT($A$2&amp;$AI63,TRUE),0),AP$2),"")</f>
        <v/>
      </c>
      <c r="AQ63" s="6" t="str" cm="1">
        <f t="array" aca="1" ref="AQ63" ca="1">IFERROR(INDEX(INDEX(INDIRECT($A$2&amp;$AI63,TRUE),0),AQ$2),"")</f>
        <v/>
      </c>
      <c r="AR63" s="6" t="str" cm="1">
        <f t="array" aca="1" ref="AR63" ca="1">IFERROR(INDEX(INDEX(INDIRECT($A$2&amp;$AI63,TRUE),0),AR$2),"")</f>
        <v/>
      </c>
      <c r="AS63" s="6" t="str" cm="1">
        <f t="array" aca="1" ref="AS63" ca="1">IFERROR(INDEX(INDEX(INDIRECT($A$2&amp;$AI63,TRUE),0),AS$2),"")</f>
        <v/>
      </c>
      <c r="AT63" s="6" t="str" cm="1">
        <f t="array" aca="1" ref="AT63" ca="1">IFERROR(INDEX(INDEX(INDIRECT($A$2&amp;$AI63,TRUE),0),AT$2),"")</f>
        <v/>
      </c>
    </row>
    <row r="64" spans="2:78">
      <c r="AH64" s="6">
        <v>2</v>
      </c>
      <c r="AI64" s="6" t="e">
        <f t="shared" ref="AI64:AI68" si="96">INDEX($T$4:$AE$32,MATCH($AJ$62,$B$4:$B$34,0),MATCH($AJ64,$T$3:$AE$3,0))</f>
        <v>#N/A</v>
      </c>
      <c r="AJ64" s="6" t="s">
        <v>24</v>
      </c>
      <c r="AK64" s="6" t="str" cm="1">
        <f t="array" aca="1" ref="AK64" ca="1">IFERROR(INDEX(INDEX(INDIRECT($A$2&amp;$AI64,TRUE),0),AK$2),"")</f>
        <v/>
      </c>
      <c r="AL64" s="6" t="str" cm="1">
        <f t="array" aca="1" ref="AL64" ca="1">IFERROR(INDEX(INDEX(INDIRECT($A$2&amp;$AI64,TRUE),0),AL$2),"")</f>
        <v/>
      </c>
      <c r="AM64" s="6" t="str" cm="1">
        <f t="array" aca="1" ref="AM64" ca="1">IFERROR(INDEX(INDEX(INDIRECT($A$2&amp;$AI64,TRUE),0),AM$2),"")</f>
        <v/>
      </c>
      <c r="AN64" s="6" t="str" cm="1">
        <f t="array" aca="1" ref="AN64" ca="1">IFERROR(INDEX(INDEX(INDIRECT($A$2&amp;$AI64,TRUE),0),AN$2),"")</f>
        <v/>
      </c>
      <c r="AO64" s="6" t="str" cm="1">
        <f t="array" aca="1" ref="AO64" ca="1">IFERROR(INDEX(INDEX(INDIRECT($A$2&amp;$AI64,TRUE),0),AO$2),"")</f>
        <v/>
      </c>
      <c r="AP64" s="6" t="str" cm="1">
        <f t="array" aca="1" ref="AP64" ca="1">IFERROR(INDEX(INDEX(INDIRECT($A$2&amp;$AI64,TRUE),0),AP$2),"")</f>
        <v/>
      </c>
      <c r="AQ64" s="6" t="str" cm="1">
        <f t="array" aca="1" ref="AQ64" ca="1">IFERROR(INDEX(INDEX(INDIRECT($A$2&amp;$AI64,TRUE),0),AQ$2),"")</f>
        <v/>
      </c>
      <c r="AR64" s="6" t="str" cm="1">
        <f t="array" aca="1" ref="AR64" ca="1">IFERROR(INDEX(INDEX(INDIRECT($A$2&amp;$AI64,TRUE),0),AR$2),"")</f>
        <v/>
      </c>
      <c r="AS64" s="6" t="str" cm="1">
        <f t="array" aca="1" ref="AS64" ca="1">IFERROR(INDEX(INDEX(INDIRECT($A$2&amp;$AI64,TRUE),0),AS$2),"")</f>
        <v/>
      </c>
      <c r="AT64" s="6" t="str" cm="1">
        <f t="array" aca="1" ref="AT64" ca="1">IFERROR(INDEX(INDEX(INDIRECT($A$2&amp;$AI64,TRUE),0),AT$2),"")</f>
        <v/>
      </c>
    </row>
    <row r="65" spans="33:47">
      <c r="AH65" s="6">
        <v>3</v>
      </c>
      <c r="AI65" s="6" t="e">
        <f t="shared" si="96"/>
        <v>#N/A</v>
      </c>
      <c r="AJ65" s="6" t="s">
        <v>11</v>
      </c>
      <c r="AK65" s="6" t="str" cm="1">
        <f t="array" aca="1" ref="AK65" ca="1">IFERROR(INDEX(INDEX(INDIRECT($A$2&amp;$AI65,TRUE),0),AK$2),"")</f>
        <v/>
      </c>
      <c r="AL65" s="6" t="str" cm="1">
        <f t="array" aca="1" ref="AL65" ca="1">IFERROR(INDEX(INDEX(INDIRECT($A$2&amp;$AI65,TRUE),0),AL$2),"")</f>
        <v/>
      </c>
      <c r="AM65" s="6" t="str" cm="1">
        <f t="array" aca="1" ref="AM65" ca="1">IFERROR(INDEX(INDEX(INDIRECT($A$2&amp;$AI65,TRUE),0),AM$2),"")</f>
        <v/>
      </c>
      <c r="AN65" s="6" t="str" cm="1">
        <f t="array" aca="1" ref="AN65" ca="1">IFERROR(INDEX(INDEX(INDIRECT($A$2&amp;$AI65,TRUE),0),AN$2),"")</f>
        <v/>
      </c>
      <c r="AO65" s="6" t="str" cm="1">
        <f t="array" aca="1" ref="AO65" ca="1">IFERROR(INDEX(INDEX(INDIRECT($A$2&amp;$AI65,TRUE),0),AO$2),"")</f>
        <v/>
      </c>
      <c r="AP65" s="6" t="str" cm="1">
        <f t="array" aca="1" ref="AP65" ca="1">IFERROR(INDEX(INDEX(INDIRECT($A$2&amp;$AI65,TRUE),0),AP$2),"")</f>
        <v/>
      </c>
      <c r="AQ65" s="6" t="str" cm="1">
        <f t="array" aca="1" ref="AQ65" ca="1">IFERROR(INDEX(INDEX(INDIRECT($A$2&amp;$AI65,TRUE),0),AQ$2),"")</f>
        <v/>
      </c>
      <c r="AR65" s="6" t="str" cm="1">
        <f t="array" aca="1" ref="AR65" ca="1">IFERROR(INDEX(INDEX(INDIRECT($A$2&amp;$AI65,TRUE),0),AR$2),"")</f>
        <v/>
      </c>
      <c r="AS65" s="6" t="str" cm="1">
        <f t="array" aca="1" ref="AS65" ca="1">IFERROR(INDEX(INDEX(INDIRECT($A$2&amp;$AI65,TRUE),0),AS$2),"")</f>
        <v/>
      </c>
      <c r="AT65" s="6" t="str" cm="1">
        <f t="array" aca="1" ref="AT65" ca="1">IFERROR(INDEX(INDEX(INDIRECT($A$2&amp;$AI65,TRUE),0),AT$2),"")</f>
        <v/>
      </c>
    </row>
    <row r="66" spans="33:47">
      <c r="AH66" s="6">
        <v>4</v>
      </c>
      <c r="AI66" s="6" t="e">
        <f t="shared" si="96"/>
        <v>#N/A</v>
      </c>
      <c r="AJ66" s="6" t="s">
        <v>32</v>
      </c>
      <c r="AK66" s="6" t="str" cm="1">
        <f t="array" aca="1" ref="AK66" ca="1">IFERROR(INDEX(INDEX(INDIRECT($A$2&amp;$AI66,TRUE),0),AK$2),"")</f>
        <v/>
      </c>
      <c r="AL66" s="6" t="str" cm="1">
        <f t="array" aca="1" ref="AL66" ca="1">IFERROR(INDEX(INDEX(INDIRECT($A$2&amp;$AI66,TRUE),0),AL$2),"")</f>
        <v/>
      </c>
      <c r="AM66" s="6" t="str" cm="1">
        <f t="array" aca="1" ref="AM66" ca="1">IFERROR(INDEX(INDEX(INDIRECT($A$2&amp;$AI66,TRUE),0),AM$2),"")</f>
        <v/>
      </c>
      <c r="AN66" s="6" t="str" cm="1">
        <f t="array" aca="1" ref="AN66" ca="1">IFERROR(INDEX(INDEX(INDIRECT($A$2&amp;$AI66,TRUE),0),AN$2),"")</f>
        <v/>
      </c>
      <c r="AO66" s="6" t="str" cm="1">
        <f t="array" aca="1" ref="AO66" ca="1">IFERROR(INDEX(INDEX(INDIRECT($A$2&amp;$AI66,TRUE),0),AO$2),"")</f>
        <v/>
      </c>
      <c r="AP66" s="6" t="str" cm="1">
        <f t="array" aca="1" ref="AP66" ca="1">IFERROR(INDEX(INDEX(INDIRECT($A$2&amp;$AI66,TRUE),0),AP$2),"")</f>
        <v/>
      </c>
      <c r="AQ66" s="6" t="str" cm="1">
        <f t="array" aca="1" ref="AQ66" ca="1">IFERROR(INDEX(INDEX(INDIRECT($A$2&amp;$AI66,TRUE),0),AQ$2),"")</f>
        <v/>
      </c>
      <c r="AR66" s="6" t="str" cm="1">
        <f t="array" aca="1" ref="AR66" ca="1">IFERROR(INDEX(INDEX(INDIRECT($A$2&amp;$AI66,TRUE),0),AR$2),"")</f>
        <v/>
      </c>
      <c r="AS66" s="6" t="str" cm="1">
        <f t="array" aca="1" ref="AS66" ca="1">IFERROR(INDEX(INDEX(INDIRECT($A$2&amp;$AI66,TRUE),0),AS$2),"")</f>
        <v/>
      </c>
      <c r="AT66" s="6" t="str" cm="1">
        <f t="array" aca="1" ref="AT66" ca="1">IFERROR(INDEX(INDEX(INDIRECT($A$2&amp;$AI66,TRUE),0),AT$2),"")</f>
        <v/>
      </c>
    </row>
    <row r="67" spans="33:47">
      <c r="AH67" s="6">
        <v>5</v>
      </c>
      <c r="AI67" s="6" t="e">
        <f t="shared" si="96"/>
        <v>#N/A</v>
      </c>
      <c r="AJ67" s="6" t="s">
        <v>37</v>
      </c>
      <c r="AK67" s="6" t="str" cm="1">
        <f t="array" aca="1" ref="AK67" ca="1">IFERROR(INDEX(INDEX(INDIRECT($A$2&amp;$AI67,TRUE),0),AK$2),"")</f>
        <v/>
      </c>
      <c r="AL67" s="6" t="str" cm="1">
        <f t="array" aca="1" ref="AL67" ca="1">IFERROR(INDEX(INDEX(INDIRECT($A$2&amp;$AI67,TRUE),0),AL$2),"")</f>
        <v/>
      </c>
      <c r="AM67" s="6" t="str" cm="1">
        <f t="array" aca="1" ref="AM67" ca="1">IFERROR(INDEX(INDEX(INDIRECT($A$2&amp;$AI67,TRUE),0),AM$2),"")</f>
        <v/>
      </c>
      <c r="AN67" s="6" t="str" cm="1">
        <f t="array" aca="1" ref="AN67" ca="1">IFERROR(INDEX(INDEX(INDIRECT($A$2&amp;$AI67,TRUE),0),AN$2),"")</f>
        <v/>
      </c>
      <c r="AO67" s="6" t="str" cm="1">
        <f t="array" aca="1" ref="AO67" ca="1">IFERROR(INDEX(INDEX(INDIRECT($A$2&amp;$AI67,TRUE),0),AO$2),"")</f>
        <v/>
      </c>
      <c r="AP67" s="6" t="str" cm="1">
        <f t="array" aca="1" ref="AP67" ca="1">IFERROR(INDEX(INDEX(INDIRECT($A$2&amp;$AI67,TRUE),0),AP$2),"")</f>
        <v/>
      </c>
      <c r="AQ67" s="6" t="str" cm="1">
        <f t="array" aca="1" ref="AQ67" ca="1">IFERROR(INDEX(INDEX(INDIRECT($A$2&amp;$AI67,TRUE),0),AQ$2),"")</f>
        <v/>
      </c>
      <c r="AR67" s="6" t="str" cm="1">
        <f t="array" aca="1" ref="AR67" ca="1">IFERROR(INDEX(INDEX(INDIRECT($A$2&amp;$AI67,TRUE),0),AR$2),"")</f>
        <v/>
      </c>
      <c r="AS67" s="6" t="str" cm="1">
        <f t="array" aca="1" ref="AS67" ca="1">IFERROR(INDEX(INDEX(INDIRECT($A$2&amp;$AI67,TRUE),0),AS$2),"")</f>
        <v/>
      </c>
      <c r="AT67" s="6" t="str" cm="1">
        <f t="array" aca="1" ref="AT67" ca="1">IFERROR(INDEX(INDEX(INDIRECT($A$2&amp;$AI67,TRUE),0),AT$2),"")</f>
        <v/>
      </c>
    </row>
    <row r="68" spans="33:47">
      <c r="AH68" s="6">
        <v>6</v>
      </c>
      <c r="AI68" s="6" t="e">
        <f t="shared" si="96"/>
        <v>#N/A</v>
      </c>
      <c r="AJ68" s="6" t="s">
        <v>41</v>
      </c>
      <c r="AK68" s="6" t="str" cm="1">
        <f t="array" aca="1" ref="AK68" ca="1">IFERROR(INDEX(INDEX(INDIRECT($A$2&amp;$AI68,TRUE),0),AK$2),"")</f>
        <v/>
      </c>
      <c r="AL68" s="6" t="str" cm="1">
        <f t="array" aca="1" ref="AL68" ca="1">IFERROR(INDEX(INDEX(INDIRECT($A$2&amp;$AI68,TRUE),0),AL$2),"")</f>
        <v/>
      </c>
      <c r="AM68" s="6" t="str" cm="1">
        <f t="array" aca="1" ref="AM68" ca="1">IFERROR(INDEX(INDEX(INDIRECT($A$2&amp;$AI68,TRUE),0),AM$2),"")</f>
        <v/>
      </c>
      <c r="AN68" s="6" t="str" cm="1">
        <f t="array" aca="1" ref="AN68" ca="1">IFERROR(INDEX(INDEX(INDIRECT($A$2&amp;$AI68,TRUE),0),AN$2),"")</f>
        <v/>
      </c>
      <c r="AO68" s="6" t="str" cm="1">
        <f t="array" aca="1" ref="AO68" ca="1">IFERROR(INDEX(INDEX(INDIRECT($A$2&amp;$AI68,TRUE),0),AO$2),"")</f>
        <v/>
      </c>
      <c r="AP68" s="6" t="str" cm="1">
        <f t="array" aca="1" ref="AP68" ca="1">IFERROR(INDEX(INDEX(INDIRECT($A$2&amp;$AI68,TRUE),0),AP$2),"")</f>
        <v/>
      </c>
      <c r="AQ68" s="6" t="str" cm="1">
        <f t="array" aca="1" ref="AQ68" ca="1">IFERROR(INDEX(INDEX(INDIRECT($A$2&amp;$AI68,TRUE),0),AQ$2),"")</f>
        <v/>
      </c>
      <c r="AR68" s="6" t="str" cm="1">
        <f t="array" aca="1" ref="AR68" ca="1">IFERROR(INDEX(INDEX(INDIRECT($A$2&amp;$AI68,TRUE),0),AR$2),"")</f>
        <v/>
      </c>
      <c r="AS68" s="6" t="str" cm="1">
        <f t="array" aca="1" ref="AS68" ca="1">IFERROR(INDEX(INDEX(INDIRECT($A$2&amp;$AI68,TRUE),0),AS$2),"")</f>
        <v/>
      </c>
      <c r="AT68" s="6" t="str" cm="1">
        <f t="array" aca="1" ref="AT68" ca="1">IFERROR(INDEX(INDEX(INDIRECT($A$2&amp;$AI68,TRUE),0),AT$2),"")</f>
        <v/>
      </c>
    </row>
    <row r="69" spans="33:47">
      <c r="AI69" t="s">
        <v>63</v>
      </c>
      <c r="AJ69" s="8">
        <f>AJ62-1</f>
        <v>-9</v>
      </c>
      <c r="AK69" s="9" t="e">
        <f>" ("&amp;CHOOSE(WEEKDAY(AJ69,1),"日","月","火","水","木","金","土")&amp;")"</f>
        <v>#NUM!</v>
      </c>
      <c r="AL69" s="10"/>
      <c r="AM69" s="10"/>
      <c r="AN69" s="10"/>
      <c r="AO69" s="10"/>
      <c r="AP69" s="10"/>
      <c r="AQ69" s="10"/>
      <c r="AR69" s="10"/>
      <c r="AS69" s="10"/>
      <c r="AT69" s="10"/>
    </row>
    <row r="70" spans="33:47">
      <c r="AH70" s="6">
        <v>1</v>
      </c>
      <c r="AI70" s="6" t="e">
        <f>INDEX($T$4:$AE$32,MATCH($AJ$69,$B$4:$B$34,0),MATCH($AJ70,$T$3:$AE$3,0))</f>
        <v>#N/A</v>
      </c>
      <c r="AJ70" s="6" t="s">
        <v>19</v>
      </c>
      <c r="AK70" s="6" t="str" cm="1">
        <f t="array" aca="1" ref="AK70" ca="1">IFERROR(INDEX(INDEX(INDIRECT($A$2&amp;$AI70,TRUE),0),AK$2),"")</f>
        <v/>
      </c>
      <c r="AL70" s="6" t="str" cm="1">
        <f t="array" aca="1" ref="AL70" ca="1">IFERROR(INDEX(INDEX(INDIRECT($A$2&amp;$AI70,TRUE),0),AL$2),"")</f>
        <v/>
      </c>
      <c r="AM70" s="6" t="str" cm="1">
        <f t="array" aca="1" ref="AM70" ca="1">IFERROR(INDEX(INDEX(INDIRECT($A$2&amp;$AI70,TRUE),0),AM$2),"")</f>
        <v/>
      </c>
      <c r="AN70" s="6" t="str" cm="1">
        <f t="array" aca="1" ref="AN70" ca="1">IFERROR(INDEX(INDEX(INDIRECT($A$2&amp;$AI70,TRUE),0),AN$2),"")</f>
        <v/>
      </c>
      <c r="AO70" s="6" t="str" cm="1">
        <f t="array" aca="1" ref="AO70" ca="1">IFERROR(INDEX(INDEX(INDIRECT($A$2&amp;$AI70,TRUE),0),AO$2),"")</f>
        <v/>
      </c>
      <c r="AP70" s="6" t="str" cm="1">
        <f t="array" aca="1" ref="AP70" ca="1">IFERROR(INDEX(INDEX(INDIRECT($A$2&amp;$AI70,TRUE),0),AP$2),"")</f>
        <v/>
      </c>
      <c r="AQ70" s="6" t="str" cm="1">
        <f t="array" aca="1" ref="AQ70" ca="1">IFERROR(INDEX(INDEX(INDIRECT($A$2&amp;$AI70,TRUE),0),AQ$2),"")</f>
        <v/>
      </c>
      <c r="AR70" s="6" t="str" cm="1">
        <f t="array" aca="1" ref="AR70" ca="1">IFERROR(INDEX(INDEX(INDIRECT($A$2&amp;$AI70,TRUE),0),AR$2),"")</f>
        <v/>
      </c>
      <c r="AS70" s="6" t="str" cm="1">
        <f t="array" aca="1" ref="AS70" ca="1">IFERROR(INDEX(INDEX(INDIRECT($A$2&amp;$AI70,TRUE),0),AS$2),"")</f>
        <v/>
      </c>
      <c r="AT70" s="6" t="str" cm="1">
        <f t="array" aca="1" ref="AT70" ca="1">IFERROR(INDEX(INDEX(INDIRECT($A$2&amp;$AI70,TRUE),0),AT$2),"")</f>
        <v/>
      </c>
    </row>
    <row r="71" spans="33:47">
      <c r="AH71" s="6">
        <v>2</v>
      </c>
      <c r="AI71" s="6" t="e">
        <f t="shared" ref="AI71:AI75" si="97">INDEX($T$4:$AE$32,MATCH($AJ$69,$B$4:$B$34,0),MATCH($AJ71,$T$3:$AE$3,0))</f>
        <v>#N/A</v>
      </c>
      <c r="AJ71" s="6" t="s">
        <v>24</v>
      </c>
      <c r="AK71" s="6" t="str" cm="1">
        <f t="array" aca="1" ref="AK71" ca="1">IFERROR(INDEX(INDEX(INDIRECT($A$2&amp;$AI71,TRUE),0),AK$2),"")</f>
        <v/>
      </c>
      <c r="AL71" s="6" t="str" cm="1">
        <f t="array" aca="1" ref="AL71" ca="1">IFERROR(INDEX(INDEX(INDIRECT($A$2&amp;$AI71,TRUE),0),AL$2),"")</f>
        <v/>
      </c>
      <c r="AM71" s="6" t="str" cm="1">
        <f t="array" aca="1" ref="AM71" ca="1">IFERROR(INDEX(INDEX(INDIRECT($A$2&amp;$AI71,TRUE),0),AM$2),"")</f>
        <v/>
      </c>
      <c r="AN71" s="6" t="str" cm="1">
        <f t="array" aca="1" ref="AN71" ca="1">IFERROR(INDEX(INDEX(INDIRECT($A$2&amp;$AI71,TRUE),0),AN$2),"")</f>
        <v/>
      </c>
      <c r="AO71" s="6" t="str" cm="1">
        <f t="array" aca="1" ref="AO71" ca="1">IFERROR(INDEX(INDEX(INDIRECT($A$2&amp;$AI71,TRUE),0),AO$2),"")</f>
        <v/>
      </c>
      <c r="AP71" s="6" t="str" cm="1">
        <f t="array" aca="1" ref="AP71" ca="1">IFERROR(INDEX(INDEX(INDIRECT($A$2&amp;$AI71,TRUE),0),AP$2),"")</f>
        <v/>
      </c>
      <c r="AQ71" s="6" t="str" cm="1">
        <f t="array" aca="1" ref="AQ71" ca="1">IFERROR(INDEX(INDEX(INDIRECT($A$2&amp;$AI71,TRUE),0),AQ$2),"")</f>
        <v/>
      </c>
      <c r="AR71" s="6" t="str" cm="1">
        <f t="array" aca="1" ref="AR71" ca="1">IFERROR(INDEX(INDEX(INDIRECT($A$2&amp;$AI71,TRUE),0),AR$2),"")</f>
        <v/>
      </c>
      <c r="AS71" s="6" t="str" cm="1">
        <f t="array" aca="1" ref="AS71" ca="1">IFERROR(INDEX(INDEX(INDIRECT($A$2&amp;$AI71,TRUE),0),AS$2),"")</f>
        <v/>
      </c>
      <c r="AT71" s="6" t="str" cm="1">
        <f t="array" aca="1" ref="AT71" ca="1">IFERROR(INDEX(INDEX(INDIRECT($A$2&amp;$AI71,TRUE),0),AT$2),"")</f>
        <v/>
      </c>
      <c r="AU71" s="6"/>
    </row>
    <row r="72" spans="33:47">
      <c r="AH72" s="6">
        <v>3</v>
      </c>
      <c r="AI72" s="6" t="e">
        <f t="shared" si="97"/>
        <v>#N/A</v>
      </c>
      <c r="AJ72" s="6" t="s">
        <v>11</v>
      </c>
      <c r="AK72" s="6" t="str" cm="1">
        <f t="array" aca="1" ref="AK72" ca="1">IFERROR(INDEX(INDEX(INDIRECT($A$2&amp;$AI72,TRUE),0),AK$2),"")</f>
        <v/>
      </c>
      <c r="AL72" s="6" t="str" cm="1">
        <f t="array" aca="1" ref="AL72" ca="1">IFERROR(INDEX(INDEX(INDIRECT($A$2&amp;$AI72,TRUE),0),AL$2),"")</f>
        <v/>
      </c>
      <c r="AM72" s="6" t="str" cm="1">
        <f t="array" aca="1" ref="AM72" ca="1">IFERROR(INDEX(INDEX(INDIRECT($A$2&amp;$AI72,TRUE),0),AM$2),"")</f>
        <v/>
      </c>
      <c r="AN72" s="6" t="str" cm="1">
        <f t="array" aca="1" ref="AN72" ca="1">IFERROR(INDEX(INDEX(INDIRECT($A$2&amp;$AI72,TRUE),0),AN$2),"")</f>
        <v/>
      </c>
      <c r="AO72" s="6" t="str" cm="1">
        <f t="array" aca="1" ref="AO72" ca="1">IFERROR(INDEX(INDEX(INDIRECT($A$2&amp;$AI72,TRUE),0),AO$2),"")</f>
        <v/>
      </c>
      <c r="AP72" s="6" t="str" cm="1">
        <f t="array" aca="1" ref="AP72" ca="1">IFERROR(INDEX(INDEX(INDIRECT($A$2&amp;$AI72,TRUE),0),AP$2),"")</f>
        <v/>
      </c>
      <c r="AQ72" s="6" t="str" cm="1">
        <f t="array" aca="1" ref="AQ72" ca="1">IFERROR(INDEX(INDEX(INDIRECT($A$2&amp;$AI72,TRUE),0),AQ$2),"")</f>
        <v/>
      </c>
      <c r="AR72" s="6" t="str" cm="1">
        <f t="array" aca="1" ref="AR72" ca="1">IFERROR(INDEX(INDEX(INDIRECT($A$2&amp;$AI72,TRUE),0),AR$2),"")</f>
        <v/>
      </c>
      <c r="AS72" s="6" t="str" cm="1">
        <f t="array" aca="1" ref="AS72" ca="1">IFERROR(INDEX(INDEX(INDIRECT($A$2&amp;$AI72,TRUE),0),AS$2),"")</f>
        <v/>
      </c>
      <c r="AT72" s="6" t="str" cm="1">
        <f t="array" aca="1" ref="AT72" ca="1">IFERROR(INDEX(INDEX(INDIRECT($A$2&amp;$AI72,TRUE),0),AT$2),"")</f>
        <v/>
      </c>
      <c r="AU72" s="6"/>
    </row>
    <row r="73" spans="33:47">
      <c r="AG73" s="6"/>
      <c r="AH73" s="6">
        <v>4</v>
      </c>
      <c r="AI73" s="6" t="e">
        <f t="shared" si="97"/>
        <v>#N/A</v>
      </c>
      <c r="AJ73" s="6" t="s">
        <v>32</v>
      </c>
      <c r="AK73" s="6" t="str" cm="1">
        <f t="array" aca="1" ref="AK73" ca="1">IFERROR(INDEX(INDEX(INDIRECT($A$2&amp;$AI73,TRUE),0),AK$2),"")</f>
        <v/>
      </c>
      <c r="AL73" s="6" t="str" cm="1">
        <f t="array" aca="1" ref="AL73" ca="1">IFERROR(INDEX(INDEX(INDIRECT($A$2&amp;$AI73,TRUE),0),AL$2),"")</f>
        <v/>
      </c>
      <c r="AM73" s="6" t="str" cm="1">
        <f t="array" aca="1" ref="AM73" ca="1">IFERROR(INDEX(INDEX(INDIRECT($A$2&amp;$AI73,TRUE),0),AM$2),"")</f>
        <v/>
      </c>
      <c r="AN73" s="6" t="str" cm="1">
        <f t="array" aca="1" ref="AN73" ca="1">IFERROR(INDEX(INDEX(INDIRECT($A$2&amp;$AI73,TRUE),0),AN$2),"")</f>
        <v/>
      </c>
      <c r="AO73" s="6" t="str" cm="1">
        <f t="array" aca="1" ref="AO73" ca="1">IFERROR(INDEX(INDEX(INDIRECT($A$2&amp;$AI73,TRUE),0),AO$2),"")</f>
        <v/>
      </c>
      <c r="AP73" s="6" t="str" cm="1">
        <f t="array" aca="1" ref="AP73" ca="1">IFERROR(INDEX(INDEX(INDIRECT($A$2&amp;$AI73,TRUE),0),AP$2),"")</f>
        <v/>
      </c>
      <c r="AQ73" s="6" t="str" cm="1">
        <f t="array" aca="1" ref="AQ73" ca="1">IFERROR(INDEX(INDEX(INDIRECT($A$2&amp;$AI73,TRUE),0),AQ$2),"")</f>
        <v/>
      </c>
      <c r="AR73" s="6" t="str" cm="1">
        <f t="array" aca="1" ref="AR73" ca="1">IFERROR(INDEX(INDEX(INDIRECT($A$2&amp;$AI73,TRUE),0),AR$2),"")</f>
        <v/>
      </c>
      <c r="AS73" s="6" t="str" cm="1">
        <f t="array" aca="1" ref="AS73" ca="1">IFERROR(INDEX(INDEX(INDIRECT($A$2&amp;$AI73,TRUE),0),AS$2),"")</f>
        <v/>
      </c>
      <c r="AT73" s="6" t="str" cm="1">
        <f t="array" aca="1" ref="AT73" ca="1">IFERROR(INDEX(INDEX(INDIRECT($A$2&amp;$AI73,TRUE),0),AT$2),"")</f>
        <v/>
      </c>
      <c r="AU73" s="6"/>
    </row>
    <row r="74" spans="33:47">
      <c r="AH74" s="6">
        <v>5</v>
      </c>
      <c r="AI74" s="6" t="e">
        <f t="shared" si="97"/>
        <v>#N/A</v>
      </c>
      <c r="AJ74" s="6" t="s">
        <v>37</v>
      </c>
      <c r="AK74" s="6" t="str" cm="1">
        <f t="array" aca="1" ref="AK74" ca="1">IFERROR(INDEX(INDEX(INDIRECT($A$2&amp;$AI74,TRUE),0),AK$2),"")</f>
        <v/>
      </c>
      <c r="AL74" s="6" t="str" cm="1">
        <f t="array" aca="1" ref="AL74" ca="1">IFERROR(INDEX(INDEX(INDIRECT($A$2&amp;$AI74,TRUE),0),AL$2),"")</f>
        <v/>
      </c>
      <c r="AM74" s="6" t="str" cm="1">
        <f t="array" aca="1" ref="AM74" ca="1">IFERROR(INDEX(INDEX(INDIRECT($A$2&amp;$AI74,TRUE),0),AM$2),"")</f>
        <v/>
      </c>
      <c r="AN74" s="6" t="str" cm="1">
        <f t="array" aca="1" ref="AN74" ca="1">IFERROR(INDEX(INDEX(INDIRECT($A$2&amp;$AI74,TRUE),0),AN$2),"")</f>
        <v/>
      </c>
      <c r="AO74" s="6" t="str" cm="1">
        <f t="array" aca="1" ref="AO74" ca="1">IFERROR(INDEX(INDEX(INDIRECT($A$2&amp;$AI74,TRUE),0),AO$2),"")</f>
        <v/>
      </c>
      <c r="AP74" s="6" t="str" cm="1">
        <f t="array" aca="1" ref="AP74" ca="1">IFERROR(INDEX(INDEX(INDIRECT($A$2&amp;$AI74,TRUE),0),AP$2),"")</f>
        <v/>
      </c>
      <c r="AQ74" s="6" t="str" cm="1">
        <f t="array" aca="1" ref="AQ74" ca="1">IFERROR(INDEX(INDEX(INDIRECT($A$2&amp;$AI74,TRUE),0),AQ$2),"")</f>
        <v/>
      </c>
      <c r="AR74" s="6" t="str" cm="1">
        <f t="array" aca="1" ref="AR74" ca="1">IFERROR(INDEX(INDEX(INDIRECT($A$2&amp;$AI74,TRUE),0),AR$2),"")</f>
        <v/>
      </c>
      <c r="AS74" s="6" t="str" cm="1">
        <f t="array" aca="1" ref="AS74" ca="1">IFERROR(INDEX(INDEX(INDIRECT($A$2&amp;$AI74,TRUE),0),AS$2),"")</f>
        <v/>
      </c>
      <c r="AT74" s="6" t="str" cm="1">
        <f t="array" aca="1" ref="AT74" ca="1">IFERROR(INDEX(INDEX(INDIRECT($A$2&amp;$AI74,TRUE),0),AT$2),"")</f>
        <v/>
      </c>
      <c r="AU74" s="6"/>
    </row>
    <row r="75" spans="33:47">
      <c r="AH75" s="6">
        <v>6</v>
      </c>
      <c r="AI75" s="6" t="e">
        <f t="shared" si="97"/>
        <v>#N/A</v>
      </c>
      <c r="AJ75" s="6" t="s">
        <v>41</v>
      </c>
      <c r="AK75" s="6" t="str" cm="1">
        <f t="array" aca="1" ref="AK75" ca="1">IFERROR(INDEX(INDEX(INDIRECT($A$2&amp;$AI75,TRUE),0),AK$2),"")</f>
        <v/>
      </c>
      <c r="AL75" s="6" t="str" cm="1">
        <f t="array" aca="1" ref="AL75" ca="1">IFERROR(INDEX(INDEX(INDIRECT($A$2&amp;$AI75,TRUE),0),AL$2),"")</f>
        <v/>
      </c>
      <c r="AM75" s="6" t="str" cm="1">
        <f t="array" aca="1" ref="AM75" ca="1">IFERROR(INDEX(INDEX(INDIRECT($A$2&amp;$AI75,TRUE),0),AM$2),"")</f>
        <v/>
      </c>
      <c r="AN75" s="6" t="str" cm="1">
        <f t="array" aca="1" ref="AN75" ca="1">IFERROR(INDEX(INDEX(INDIRECT($A$2&amp;$AI75,TRUE),0),AN$2),"")</f>
        <v/>
      </c>
      <c r="AO75" s="6" t="str" cm="1">
        <f t="array" aca="1" ref="AO75" ca="1">IFERROR(INDEX(INDEX(INDIRECT($A$2&amp;$AI75,TRUE),0),AO$2),"")</f>
        <v/>
      </c>
      <c r="AP75" s="6" t="str" cm="1">
        <f t="array" aca="1" ref="AP75" ca="1">IFERROR(INDEX(INDEX(INDIRECT($A$2&amp;$AI75,TRUE),0),AP$2),"")</f>
        <v/>
      </c>
      <c r="AQ75" s="6" t="str" cm="1">
        <f t="array" aca="1" ref="AQ75" ca="1">IFERROR(INDEX(INDEX(INDIRECT($A$2&amp;$AI75,TRUE),0),AQ$2),"")</f>
        <v/>
      </c>
      <c r="AR75" s="6" t="str" cm="1">
        <f t="array" aca="1" ref="AR75" ca="1">IFERROR(INDEX(INDEX(INDIRECT($A$2&amp;$AI75,TRUE),0),AR$2),"")</f>
        <v/>
      </c>
      <c r="AS75" s="6" t="str" cm="1">
        <f t="array" aca="1" ref="AS75" ca="1">IFERROR(INDEX(INDEX(INDIRECT($A$2&amp;$AI75,TRUE),0),AS$2),"")</f>
        <v/>
      </c>
      <c r="AT75" s="6" t="str" cm="1">
        <f t="array" aca="1" ref="AT75" ca="1">IFERROR(INDEX(INDEX(INDIRECT($A$2&amp;$AI75,TRUE),0),AT$2),"")</f>
        <v/>
      </c>
      <c r="AU75" s="6"/>
    </row>
    <row r="76" spans="33:47">
      <c r="AI76" t="s">
        <v>63</v>
      </c>
      <c r="AJ76" s="8">
        <f>AJ69-1</f>
        <v>-10</v>
      </c>
      <c r="AK76" s="9" t="e">
        <f>" ("&amp;CHOOSE(WEEKDAY(AJ76,1),"日","月","火","水","木","金","土")&amp;")"</f>
        <v>#NUM!</v>
      </c>
      <c r="AL76" s="10"/>
      <c r="AM76" s="10"/>
      <c r="AN76" s="10"/>
      <c r="AO76" s="10"/>
      <c r="AP76" s="10"/>
      <c r="AQ76" s="10"/>
      <c r="AR76" s="10"/>
      <c r="AS76" s="10"/>
      <c r="AT76" s="10"/>
      <c r="AU76" s="6"/>
    </row>
    <row r="77" spans="33:47">
      <c r="AH77" s="6">
        <v>1</v>
      </c>
      <c r="AI77" s="6" t="e">
        <f>INDEX($T$4:$AE$32,MATCH($AJ$76,$B$4:$B$34,0),MATCH($AJ77,$T$3:$AE$3,0))</f>
        <v>#N/A</v>
      </c>
      <c r="AJ77" s="6" t="s">
        <v>19</v>
      </c>
      <c r="AK77" s="6" t="str" cm="1">
        <f t="array" aca="1" ref="AK77" ca="1">IFERROR(INDEX(INDEX(INDIRECT($A$2&amp;$AI77,TRUE),0),AK$2),"")</f>
        <v/>
      </c>
      <c r="AL77" s="6" t="str" cm="1">
        <f t="array" aca="1" ref="AL77" ca="1">IFERROR(INDEX(INDEX(INDIRECT($A$2&amp;$AI77,TRUE),0),AL$2),"")</f>
        <v/>
      </c>
      <c r="AM77" s="6" t="str" cm="1">
        <f t="array" aca="1" ref="AM77" ca="1">IFERROR(INDEX(INDEX(INDIRECT($A$2&amp;$AI77,TRUE),0),AM$2),"")</f>
        <v/>
      </c>
      <c r="AN77" s="6" t="str" cm="1">
        <f t="array" aca="1" ref="AN77" ca="1">IFERROR(INDEX(INDEX(INDIRECT($A$2&amp;$AI77,TRUE),0),AN$2),"")</f>
        <v/>
      </c>
      <c r="AO77" s="6" t="str" cm="1">
        <f t="array" aca="1" ref="AO77" ca="1">IFERROR(INDEX(INDEX(INDIRECT($A$2&amp;$AI77,TRUE),0),AO$2),"")</f>
        <v/>
      </c>
      <c r="AP77" s="6" t="str" cm="1">
        <f t="array" aca="1" ref="AP77" ca="1">IFERROR(INDEX(INDEX(INDIRECT($A$2&amp;$AI77,TRUE),0),AP$2),"")</f>
        <v/>
      </c>
      <c r="AQ77" s="6" t="str" cm="1">
        <f t="array" aca="1" ref="AQ77" ca="1">IFERROR(INDEX(INDEX(INDIRECT($A$2&amp;$AI77,TRUE),0),AQ$2),"")</f>
        <v/>
      </c>
      <c r="AR77" s="6" t="str" cm="1">
        <f t="array" aca="1" ref="AR77" ca="1">IFERROR(INDEX(INDEX(INDIRECT($A$2&amp;$AI77,TRUE),0),AR$2),"")</f>
        <v/>
      </c>
      <c r="AS77" s="6" t="str" cm="1">
        <f t="array" aca="1" ref="AS77" ca="1">IFERROR(INDEX(INDEX(INDIRECT($A$2&amp;$AI77,TRUE),0),AS$2),"")</f>
        <v/>
      </c>
      <c r="AT77" s="6" t="str" cm="1">
        <f t="array" aca="1" ref="AT77" ca="1">IFERROR(INDEX(INDEX(INDIRECT($A$2&amp;$AI77,TRUE),0),AT$2),"")</f>
        <v/>
      </c>
      <c r="AU77" s="6"/>
    </row>
    <row r="78" spans="33:47">
      <c r="AH78" s="6">
        <v>2</v>
      </c>
      <c r="AI78" s="6" t="e">
        <f t="shared" ref="AI78:AI82" si="98">INDEX($T$4:$AE$32,MATCH($AJ$76,$B$4:$B$34,0),MATCH($AJ78,$T$3:$AE$3,0))</f>
        <v>#N/A</v>
      </c>
      <c r="AJ78" s="6" t="s">
        <v>24</v>
      </c>
      <c r="AK78" s="6" t="str" cm="1">
        <f t="array" aca="1" ref="AK78" ca="1">IFERROR(INDEX(INDEX(INDIRECT($A$2&amp;$AI78,TRUE),0),AK$2),"")</f>
        <v/>
      </c>
      <c r="AL78" s="6" t="str" cm="1">
        <f t="array" aca="1" ref="AL78" ca="1">IFERROR(INDEX(INDEX(INDIRECT($A$2&amp;$AI78,TRUE),0),AL$2),"")</f>
        <v/>
      </c>
      <c r="AM78" s="6" t="str" cm="1">
        <f t="array" aca="1" ref="AM78" ca="1">IFERROR(INDEX(INDEX(INDIRECT($A$2&amp;$AI78,TRUE),0),AM$2),"")</f>
        <v/>
      </c>
      <c r="AN78" s="6" t="str" cm="1">
        <f t="array" aca="1" ref="AN78" ca="1">IFERROR(INDEX(INDEX(INDIRECT($A$2&amp;$AI78,TRUE),0),AN$2),"")</f>
        <v/>
      </c>
      <c r="AO78" s="6" t="str" cm="1">
        <f t="array" aca="1" ref="AO78" ca="1">IFERROR(INDEX(INDEX(INDIRECT($A$2&amp;$AI78,TRUE),0),AO$2),"")</f>
        <v/>
      </c>
      <c r="AP78" s="6" t="str" cm="1">
        <f t="array" aca="1" ref="AP78" ca="1">IFERROR(INDEX(INDEX(INDIRECT($A$2&amp;$AI78,TRUE),0),AP$2),"")</f>
        <v/>
      </c>
      <c r="AQ78" s="6" t="str" cm="1">
        <f t="array" aca="1" ref="AQ78" ca="1">IFERROR(INDEX(INDEX(INDIRECT($A$2&amp;$AI78,TRUE),0),AQ$2),"")</f>
        <v/>
      </c>
      <c r="AR78" s="6" t="str" cm="1">
        <f t="array" aca="1" ref="AR78" ca="1">IFERROR(INDEX(INDEX(INDIRECT($A$2&amp;$AI78,TRUE),0),AR$2),"")</f>
        <v/>
      </c>
      <c r="AS78" s="6" t="str" cm="1">
        <f t="array" aca="1" ref="AS78" ca="1">IFERROR(INDEX(INDEX(INDIRECT($A$2&amp;$AI78,TRUE),0),AS$2),"")</f>
        <v/>
      </c>
      <c r="AT78" s="6" t="str" cm="1">
        <f t="array" aca="1" ref="AT78" ca="1">IFERROR(INDEX(INDEX(INDIRECT($A$2&amp;$AI78,TRUE),0),AT$2),"")</f>
        <v/>
      </c>
      <c r="AU78" s="6"/>
    </row>
    <row r="79" spans="33:47">
      <c r="AH79" s="6">
        <v>3</v>
      </c>
      <c r="AI79" s="6" t="e">
        <f t="shared" si="98"/>
        <v>#N/A</v>
      </c>
      <c r="AJ79" s="6" t="s">
        <v>11</v>
      </c>
      <c r="AK79" s="6" t="str" cm="1">
        <f t="array" aca="1" ref="AK79" ca="1">IFERROR(INDEX(INDEX(INDIRECT($A$2&amp;$AI79,TRUE),0),AK$2),"")</f>
        <v/>
      </c>
      <c r="AL79" s="6" t="str" cm="1">
        <f t="array" aca="1" ref="AL79" ca="1">IFERROR(INDEX(INDEX(INDIRECT($A$2&amp;$AI79,TRUE),0),AL$2),"")</f>
        <v/>
      </c>
      <c r="AM79" s="6" t="str" cm="1">
        <f t="array" aca="1" ref="AM79" ca="1">IFERROR(INDEX(INDEX(INDIRECT($A$2&amp;$AI79,TRUE),0),AM$2),"")</f>
        <v/>
      </c>
      <c r="AN79" s="6" t="str" cm="1">
        <f t="array" aca="1" ref="AN79" ca="1">IFERROR(INDEX(INDEX(INDIRECT($A$2&amp;$AI79,TRUE),0),AN$2),"")</f>
        <v/>
      </c>
      <c r="AO79" s="6" t="str" cm="1">
        <f t="array" aca="1" ref="AO79" ca="1">IFERROR(INDEX(INDEX(INDIRECT($A$2&amp;$AI79,TRUE),0),AO$2),"")</f>
        <v/>
      </c>
      <c r="AP79" s="6" t="str" cm="1">
        <f t="array" aca="1" ref="AP79" ca="1">IFERROR(INDEX(INDEX(INDIRECT($A$2&amp;$AI79,TRUE),0),AP$2),"")</f>
        <v/>
      </c>
      <c r="AQ79" s="6" t="str" cm="1">
        <f t="array" aca="1" ref="AQ79" ca="1">IFERROR(INDEX(INDEX(INDIRECT($A$2&amp;$AI79,TRUE),0),AQ$2),"")</f>
        <v/>
      </c>
      <c r="AR79" s="6" t="str" cm="1">
        <f t="array" aca="1" ref="AR79" ca="1">IFERROR(INDEX(INDEX(INDIRECT($A$2&amp;$AI79,TRUE),0),AR$2),"")</f>
        <v/>
      </c>
      <c r="AS79" s="6" t="str" cm="1">
        <f t="array" aca="1" ref="AS79" ca="1">IFERROR(INDEX(INDEX(INDIRECT($A$2&amp;$AI79,TRUE),0),AS$2),"")</f>
        <v/>
      </c>
      <c r="AT79" s="6" t="str" cm="1">
        <f t="array" aca="1" ref="AT79" ca="1">IFERROR(INDEX(INDEX(INDIRECT($A$2&amp;$AI79,TRUE),0),AT$2),"")</f>
        <v/>
      </c>
      <c r="AU79" s="6"/>
    </row>
    <row r="80" spans="33:47">
      <c r="AH80" s="6">
        <v>4</v>
      </c>
      <c r="AI80" s="6" t="e">
        <f t="shared" si="98"/>
        <v>#N/A</v>
      </c>
      <c r="AJ80" s="6" t="s">
        <v>32</v>
      </c>
      <c r="AK80" s="6" t="str" cm="1">
        <f t="array" aca="1" ref="AK80" ca="1">IFERROR(INDEX(INDEX(INDIRECT($A$2&amp;$AI80,TRUE),0),AK$2),"")</f>
        <v/>
      </c>
      <c r="AL80" s="6" t="str" cm="1">
        <f t="array" aca="1" ref="AL80" ca="1">IFERROR(INDEX(INDEX(INDIRECT($A$2&amp;$AI80,TRUE),0),AL$2),"")</f>
        <v/>
      </c>
      <c r="AM80" s="6" t="str" cm="1">
        <f t="array" aca="1" ref="AM80" ca="1">IFERROR(INDEX(INDEX(INDIRECT($A$2&amp;$AI80,TRUE),0),AM$2),"")</f>
        <v/>
      </c>
      <c r="AN80" s="6" t="str" cm="1">
        <f t="array" aca="1" ref="AN80" ca="1">IFERROR(INDEX(INDEX(INDIRECT($A$2&amp;$AI80,TRUE),0),AN$2),"")</f>
        <v/>
      </c>
      <c r="AO80" s="6" t="str" cm="1">
        <f t="array" aca="1" ref="AO80" ca="1">IFERROR(INDEX(INDEX(INDIRECT($A$2&amp;$AI80,TRUE),0),AO$2),"")</f>
        <v/>
      </c>
      <c r="AP80" s="6" t="str" cm="1">
        <f t="array" aca="1" ref="AP80" ca="1">IFERROR(INDEX(INDEX(INDIRECT($A$2&amp;$AI80,TRUE),0),AP$2),"")</f>
        <v/>
      </c>
      <c r="AQ80" s="6" t="str" cm="1">
        <f t="array" aca="1" ref="AQ80" ca="1">IFERROR(INDEX(INDEX(INDIRECT($A$2&amp;$AI80,TRUE),0),AQ$2),"")</f>
        <v/>
      </c>
      <c r="AR80" s="6" t="str" cm="1">
        <f t="array" aca="1" ref="AR80" ca="1">IFERROR(INDEX(INDEX(INDIRECT($A$2&amp;$AI80,TRUE),0),AR$2),"")</f>
        <v/>
      </c>
      <c r="AS80" s="6" t="str" cm="1">
        <f t="array" aca="1" ref="AS80" ca="1">IFERROR(INDEX(INDEX(INDIRECT($A$2&amp;$AI80,TRUE),0),AS$2),"")</f>
        <v/>
      </c>
      <c r="AT80" s="6" t="str" cm="1">
        <f t="array" aca="1" ref="AT80" ca="1">IFERROR(INDEX(INDEX(INDIRECT($A$2&amp;$AI80,TRUE),0),AT$2),"")</f>
        <v/>
      </c>
      <c r="AU80" s="6"/>
    </row>
    <row r="81" spans="34:47">
      <c r="AH81" s="6">
        <v>5</v>
      </c>
      <c r="AI81" s="6" t="e">
        <f t="shared" si="98"/>
        <v>#N/A</v>
      </c>
      <c r="AJ81" s="6" t="s">
        <v>37</v>
      </c>
      <c r="AK81" s="6" t="str" cm="1">
        <f t="array" aca="1" ref="AK81" ca="1">IFERROR(INDEX(INDEX(INDIRECT($A$2&amp;$AI81,TRUE),0),AK$2),"")</f>
        <v/>
      </c>
      <c r="AL81" s="6" t="str" cm="1">
        <f t="array" aca="1" ref="AL81" ca="1">IFERROR(INDEX(INDEX(INDIRECT($A$2&amp;$AI81,TRUE),0),AL$2),"")</f>
        <v/>
      </c>
      <c r="AM81" s="6" t="str" cm="1">
        <f t="array" aca="1" ref="AM81" ca="1">IFERROR(INDEX(INDEX(INDIRECT($A$2&amp;$AI81,TRUE),0),AM$2),"")</f>
        <v/>
      </c>
      <c r="AN81" s="6" t="str" cm="1">
        <f t="array" aca="1" ref="AN81" ca="1">IFERROR(INDEX(INDEX(INDIRECT($A$2&amp;$AI81,TRUE),0),AN$2),"")</f>
        <v/>
      </c>
      <c r="AO81" s="6" t="str" cm="1">
        <f t="array" aca="1" ref="AO81" ca="1">IFERROR(INDEX(INDEX(INDIRECT($A$2&amp;$AI81,TRUE),0),AO$2),"")</f>
        <v/>
      </c>
      <c r="AP81" s="6" t="str" cm="1">
        <f t="array" aca="1" ref="AP81" ca="1">IFERROR(INDEX(INDEX(INDIRECT($A$2&amp;$AI81,TRUE),0),AP$2),"")</f>
        <v/>
      </c>
      <c r="AQ81" s="6" t="str" cm="1">
        <f t="array" aca="1" ref="AQ81" ca="1">IFERROR(INDEX(INDEX(INDIRECT($A$2&amp;$AI81,TRUE),0),AQ$2),"")</f>
        <v/>
      </c>
      <c r="AR81" s="6" t="str" cm="1">
        <f t="array" aca="1" ref="AR81" ca="1">IFERROR(INDEX(INDEX(INDIRECT($A$2&amp;$AI81,TRUE),0),AR$2),"")</f>
        <v/>
      </c>
      <c r="AS81" s="6" t="str" cm="1">
        <f t="array" aca="1" ref="AS81" ca="1">IFERROR(INDEX(INDEX(INDIRECT($A$2&amp;$AI81,TRUE),0),AS$2),"")</f>
        <v/>
      </c>
      <c r="AT81" s="6" t="str" cm="1">
        <f t="array" aca="1" ref="AT81" ca="1">IFERROR(INDEX(INDEX(INDIRECT($A$2&amp;$AI81,TRUE),0),AT$2),"")</f>
        <v/>
      </c>
      <c r="AU81" s="6"/>
    </row>
    <row r="82" spans="34:47">
      <c r="AH82" s="6">
        <v>6</v>
      </c>
      <c r="AI82" s="6" t="e">
        <f t="shared" si="98"/>
        <v>#N/A</v>
      </c>
      <c r="AJ82" s="6" t="s">
        <v>41</v>
      </c>
      <c r="AK82" s="6" t="str" cm="1">
        <f t="array" aca="1" ref="AK82" ca="1">IFERROR(INDEX(INDEX(INDIRECT($A$2&amp;$AI82,TRUE),0),AK$2),"")</f>
        <v/>
      </c>
      <c r="AL82" s="6" t="str" cm="1">
        <f t="array" aca="1" ref="AL82" ca="1">IFERROR(INDEX(INDEX(INDIRECT($A$2&amp;$AI82,TRUE),0),AL$2),"")</f>
        <v/>
      </c>
      <c r="AM82" s="6" t="str" cm="1">
        <f t="array" aca="1" ref="AM82" ca="1">IFERROR(INDEX(INDEX(INDIRECT($A$2&amp;$AI82,TRUE),0),AM$2),"")</f>
        <v/>
      </c>
      <c r="AN82" s="6" t="str" cm="1">
        <f t="array" aca="1" ref="AN82" ca="1">IFERROR(INDEX(INDEX(INDIRECT($A$2&amp;$AI82,TRUE),0),AN$2),"")</f>
        <v/>
      </c>
      <c r="AO82" s="6" t="str" cm="1">
        <f t="array" aca="1" ref="AO82" ca="1">IFERROR(INDEX(INDEX(INDIRECT($A$2&amp;$AI82,TRUE),0),AO$2),"")</f>
        <v/>
      </c>
      <c r="AP82" s="6" t="str" cm="1">
        <f t="array" aca="1" ref="AP82" ca="1">IFERROR(INDEX(INDEX(INDIRECT($A$2&amp;$AI82,TRUE),0),AP$2),"")</f>
        <v/>
      </c>
      <c r="AQ82" s="6" t="str" cm="1">
        <f t="array" aca="1" ref="AQ82" ca="1">IFERROR(INDEX(INDEX(INDIRECT($A$2&amp;$AI82,TRUE),0),AQ$2),"")</f>
        <v/>
      </c>
      <c r="AR82" s="6" t="str" cm="1">
        <f t="array" aca="1" ref="AR82" ca="1">IFERROR(INDEX(INDEX(INDIRECT($A$2&amp;$AI82,TRUE),0),AR$2),"")</f>
        <v/>
      </c>
      <c r="AS82" s="6" t="str" cm="1">
        <f t="array" aca="1" ref="AS82" ca="1">IFERROR(INDEX(INDEX(INDIRECT($A$2&amp;$AI82,TRUE),0),AS$2),"")</f>
        <v/>
      </c>
      <c r="AT82" s="6" t="str" cm="1">
        <f t="array" aca="1" ref="AT82" ca="1">IFERROR(INDEX(INDEX(INDIRECT($A$2&amp;$AI82,TRUE),0),AT$2),"")</f>
        <v/>
      </c>
      <c r="AU82" s="6"/>
    </row>
    <row r="83" spans="34:47">
      <c r="AI83" t="s">
        <v>63</v>
      </c>
      <c r="AJ83" s="8">
        <f>AJ76-1</f>
        <v>-11</v>
      </c>
      <c r="AK83" s="9" t="e">
        <f>" ("&amp;CHOOSE(WEEKDAY(AJ83,1),"日","月","火","水","木","金","土")&amp;")"</f>
        <v>#NUM!</v>
      </c>
      <c r="AL83" s="10"/>
      <c r="AM83" s="10"/>
      <c r="AN83" s="10"/>
      <c r="AO83" s="10"/>
      <c r="AP83" s="10"/>
      <c r="AQ83" s="10"/>
      <c r="AR83" s="10"/>
      <c r="AS83" s="10"/>
      <c r="AT83" s="10"/>
      <c r="AU83" s="6"/>
    </row>
    <row r="84" spans="34:47">
      <c r="AH84" s="6">
        <v>1</v>
      </c>
      <c r="AI84" s="6" t="e">
        <f>INDEX($T$4:$AE$32,MATCH($AJ$83,$B$4:$B$34,0),MATCH($AJ84,$T$3:$AE$3,0))</f>
        <v>#N/A</v>
      </c>
      <c r="AJ84" s="6" t="s">
        <v>19</v>
      </c>
      <c r="AK84" s="6" t="str" cm="1">
        <f t="array" aca="1" ref="AK84" ca="1">IFERROR(INDEX(INDEX(INDIRECT($A$2&amp;$AI84,TRUE),0),AK$2),"")</f>
        <v/>
      </c>
      <c r="AL84" s="6" t="str" cm="1">
        <f t="array" aca="1" ref="AL84" ca="1">IFERROR(INDEX(INDEX(INDIRECT($A$2&amp;$AI84,TRUE),0),AL$2),"")</f>
        <v/>
      </c>
      <c r="AM84" s="6" t="str" cm="1">
        <f t="array" aca="1" ref="AM84" ca="1">IFERROR(INDEX(INDEX(INDIRECT($A$2&amp;$AI84,TRUE),0),AM$2),"")</f>
        <v/>
      </c>
      <c r="AN84" s="6" t="str" cm="1">
        <f t="array" aca="1" ref="AN84" ca="1">IFERROR(INDEX(INDEX(INDIRECT($A$2&amp;$AI84,TRUE),0),AN$2),"")</f>
        <v/>
      </c>
      <c r="AO84" s="6" t="str" cm="1">
        <f t="array" aca="1" ref="AO84" ca="1">IFERROR(INDEX(INDEX(INDIRECT($A$2&amp;$AI84,TRUE),0),AO$2),"")</f>
        <v/>
      </c>
      <c r="AP84" s="6" t="str" cm="1">
        <f t="array" aca="1" ref="AP84" ca="1">IFERROR(INDEX(INDEX(INDIRECT($A$2&amp;$AI84,TRUE),0),AP$2),"")</f>
        <v/>
      </c>
      <c r="AQ84" s="6" t="str" cm="1">
        <f t="array" aca="1" ref="AQ84" ca="1">IFERROR(INDEX(INDEX(INDIRECT($A$2&amp;$AI84,TRUE),0),AQ$2),"")</f>
        <v/>
      </c>
      <c r="AR84" s="6" t="str" cm="1">
        <f t="array" aca="1" ref="AR84" ca="1">IFERROR(INDEX(INDEX(INDIRECT($A$2&amp;$AI84,TRUE),0),AR$2),"")</f>
        <v/>
      </c>
      <c r="AS84" s="6" t="str" cm="1">
        <f t="array" aca="1" ref="AS84" ca="1">IFERROR(INDEX(INDEX(INDIRECT($A$2&amp;$AI84,TRUE),0),AS$2),"")</f>
        <v/>
      </c>
      <c r="AT84" s="6" t="str" cm="1">
        <f t="array" aca="1" ref="AT84" ca="1">IFERROR(INDEX(INDEX(INDIRECT($A$2&amp;$AI84,TRUE),0),AT$2),"")</f>
        <v/>
      </c>
      <c r="AU84" s="6"/>
    </row>
    <row r="85" spans="34:47">
      <c r="AH85" s="6">
        <v>2</v>
      </c>
      <c r="AI85" s="6" t="e">
        <f t="shared" ref="AI85:AI89" si="99">INDEX($T$4:$AE$32,MATCH($AJ$83,$B$4:$B$34,0),MATCH($AJ85,$T$3:$AE$3,0))</f>
        <v>#N/A</v>
      </c>
      <c r="AJ85" s="6" t="s">
        <v>24</v>
      </c>
      <c r="AK85" s="6" t="str" cm="1">
        <f t="array" aca="1" ref="AK85" ca="1">IFERROR(INDEX(INDEX(INDIRECT($A$2&amp;$AI85,TRUE),0),AK$2),"")</f>
        <v/>
      </c>
      <c r="AL85" s="6" t="str" cm="1">
        <f t="array" aca="1" ref="AL85" ca="1">IFERROR(INDEX(INDEX(INDIRECT($A$2&amp;$AI85,TRUE),0),AL$2),"")</f>
        <v/>
      </c>
      <c r="AM85" s="6" t="str" cm="1">
        <f t="array" aca="1" ref="AM85" ca="1">IFERROR(INDEX(INDEX(INDIRECT($A$2&amp;$AI85,TRUE),0),AM$2),"")</f>
        <v/>
      </c>
      <c r="AN85" s="6" t="str" cm="1">
        <f t="array" aca="1" ref="AN85" ca="1">IFERROR(INDEX(INDEX(INDIRECT($A$2&amp;$AI85,TRUE),0),AN$2),"")</f>
        <v/>
      </c>
      <c r="AO85" s="6" t="str" cm="1">
        <f t="array" aca="1" ref="AO85" ca="1">IFERROR(INDEX(INDEX(INDIRECT($A$2&amp;$AI85,TRUE),0),AO$2),"")</f>
        <v/>
      </c>
      <c r="AP85" s="6" t="str" cm="1">
        <f t="array" aca="1" ref="AP85" ca="1">IFERROR(INDEX(INDEX(INDIRECT($A$2&amp;$AI85,TRUE),0),AP$2),"")</f>
        <v/>
      </c>
      <c r="AQ85" s="6" t="str" cm="1">
        <f t="array" aca="1" ref="AQ85" ca="1">IFERROR(INDEX(INDEX(INDIRECT($A$2&amp;$AI85,TRUE),0),AQ$2),"")</f>
        <v/>
      </c>
      <c r="AR85" s="6" t="str" cm="1">
        <f t="array" aca="1" ref="AR85" ca="1">IFERROR(INDEX(INDEX(INDIRECT($A$2&amp;$AI85,TRUE),0),AR$2),"")</f>
        <v/>
      </c>
      <c r="AS85" s="6" t="str" cm="1">
        <f t="array" aca="1" ref="AS85" ca="1">IFERROR(INDEX(INDEX(INDIRECT($A$2&amp;$AI85,TRUE),0),AS$2),"")</f>
        <v/>
      </c>
      <c r="AT85" s="6" t="str" cm="1">
        <f t="array" aca="1" ref="AT85" ca="1">IFERROR(INDEX(INDEX(INDIRECT($A$2&amp;$AI85,TRUE),0),AT$2),"")</f>
        <v/>
      </c>
      <c r="AU85" s="6"/>
    </row>
    <row r="86" spans="34:47">
      <c r="AH86" s="6">
        <v>3</v>
      </c>
      <c r="AI86" s="6" t="e">
        <f t="shared" si="99"/>
        <v>#N/A</v>
      </c>
      <c r="AJ86" s="6" t="s">
        <v>11</v>
      </c>
      <c r="AK86" s="6" t="str" cm="1">
        <f t="array" aca="1" ref="AK86" ca="1">IFERROR(INDEX(INDEX(INDIRECT($A$2&amp;$AI86,TRUE),0),AK$2),"")</f>
        <v/>
      </c>
      <c r="AL86" s="6" t="str" cm="1">
        <f t="array" aca="1" ref="AL86" ca="1">IFERROR(INDEX(INDEX(INDIRECT($A$2&amp;$AI86,TRUE),0),AL$2),"")</f>
        <v/>
      </c>
      <c r="AM86" s="6" t="str" cm="1">
        <f t="array" aca="1" ref="AM86" ca="1">IFERROR(INDEX(INDEX(INDIRECT($A$2&amp;$AI86,TRUE),0),AM$2),"")</f>
        <v/>
      </c>
      <c r="AN86" s="6" t="str" cm="1">
        <f t="array" aca="1" ref="AN86" ca="1">IFERROR(INDEX(INDEX(INDIRECT($A$2&amp;$AI86,TRUE),0),AN$2),"")</f>
        <v/>
      </c>
      <c r="AO86" s="6" t="str" cm="1">
        <f t="array" aca="1" ref="AO86" ca="1">IFERROR(INDEX(INDEX(INDIRECT($A$2&amp;$AI86,TRUE),0),AO$2),"")</f>
        <v/>
      </c>
      <c r="AP86" s="6" t="str" cm="1">
        <f t="array" aca="1" ref="AP86" ca="1">IFERROR(INDEX(INDEX(INDIRECT($A$2&amp;$AI86,TRUE),0),AP$2),"")</f>
        <v/>
      </c>
      <c r="AQ86" s="6" t="str" cm="1">
        <f t="array" aca="1" ref="AQ86" ca="1">IFERROR(INDEX(INDEX(INDIRECT($A$2&amp;$AI86,TRUE),0),AQ$2),"")</f>
        <v/>
      </c>
      <c r="AR86" s="6" t="str" cm="1">
        <f t="array" aca="1" ref="AR86" ca="1">IFERROR(INDEX(INDEX(INDIRECT($A$2&amp;$AI86,TRUE),0),AR$2),"")</f>
        <v/>
      </c>
      <c r="AS86" s="6" t="str" cm="1">
        <f t="array" aca="1" ref="AS86" ca="1">IFERROR(INDEX(INDEX(INDIRECT($A$2&amp;$AI86,TRUE),0),AS$2),"")</f>
        <v/>
      </c>
      <c r="AT86" s="6" t="str" cm="1">
        <f t="array" aca="1" ref="AT86" ca="1">IFERROR(INDEX(INDEX(INDIRECT($A$2&amp;$AI86,TRUE),0),AT$2),"")</f>
        <v/>
      </c>
      <c r="AU86" s="6"/>
    </row>
    <row r="87" spans="34:47">
      <c r="AH87" s="6">
        <v>4</v>
      </c>
      <c r="AI87" s="6" t="e">
        <f t="shared" si="99"/>
        <v>#N/A</v>
      </c>
      <c r="AJ87" s="6" t="s">
        <v>32</v>
      </c>
      <c r="AK87" s="6" t="str" cm="1">
        <f t="array" aca="1" ref="AK87" ca="1">IFERROR(INDEX(INDEX(INDIRECT($A$2&amp;$AI87,TRUE),0),AK$2),"")</f>
        <v/>
      </c>
      <c r="AL87" s="6" t="str" cm="1">
        <f t="array" aca="1" ref="AL87" ca="1">IFERROR(INDEX(INDEX(INDIRECT($A$2&amp;$AI87,TRUE),0),AL$2),"")</f>
        <v/>
      </c>
      <c r="AM87" s="6" t="str" cm="1">
        <f t="array" aca="1" ref="AM87" ca="1">IFERROR(INDEX(INDEX(INDIRECT($A$2&amp;$AI87,TRUE),0),AM$2),"")</f>
        <v/>
      </c>
      <c r="AN87" s="6" t="str" cm="1">
        <f t="array" aca="1" ref="AN87" ca="1">IFERROR(INDEX(INDEX(INDIRECT($A$2&amp;$AI87,TRUE),0),AN$2),"")</f>
        <v/>
      </c>
      <c r="AO87" s="6" t="str" cm="1">
        <f t="array" aca="1" ref="AO87" ca="1">IFERROR(INDEX(INDEX(INDIRECT($A$2&amp;$AI87,TRUE),0),AO$2),"")</f>
        <v/>
      </c>
      <c r="AP87" s="6" t="str" cm="1">
        <f t="array" aca="1" ref="AP87" ca="1">IFERROR(INDEX(INDEX(INDIRECT($A$2&amp;$AI87,TRUE),0),AP$2),"")</f>
        <v/>
      </c>
      <c r="AQ87" s="6" t="str" cm="1">
        <f t="array" aca="1" ref="AQ87" ca="1">IFERROR(INDEX(INDEX(INDIRECT($A$2&amp;$AI87,TRUE),0),AQ$2),"")</f>
        <v/>
      </c>
      <c r="AR87" s="6" t="str" cm="1">
        <f t="array" aca="1" ref="AR87" ca="1">IFERROR(INDEX(INDEX(INDIRECT($A$2&amp;$AI87,TRUE),0),AR$2),"")</f>
        <v/>
      </c>
      <c r="AS87" s="6" t="str" cm="1">
        <f t="array" aca="1" ref="AS87" ca="1">IFERROR(INDEX(INDEX(INDIRECT($A$2&amp;$AI87,TRUE),0),AS$2),"")</f>
        <v/>
      </c>
      <c r="AT87" s="6" t="str" cm="1">
        <f t="array" aca="1" ref="AT87" ca="1">IFERROR(INDEX(INDEX(INDIRECT($A$2&amp;$AI87,TRUE),0),AT$2),"")</f>
        <v/>
      </c>
      <c r="AU87" s="6"/>
    </row>
    <row r="88" spans="34:47">
      <c r="AH88" s="6">
        <v>5</v>
      </c>
      <c r="AI88" s="6" t="e">
        <f t="shared" si="99"/>
        <v>#N/A</v>
      </c>
      <c r="AJ88" s="6" t="s">
        <v>37</v>
      </c>
      <c r="AK88" s="6" t="str" cm="1">
        <f t="array" aca="1" ref="AK88" ca="1">IFERROR(INDEX(INDEX(INDIRECT($A$2&amp;$AI88,TRUE),0),AK$2),"")</f>
        <v/>
      </c>
      <c r="AL88" s="6" t="str" cm="1">
        <f t="array" aca="1" ref="AL88" ca="1">IFERROR(INDEX(INDEX(INDIRECT($A$2&amp;$AI88,TRUE),0),AL$2),"")</f>
        <v/>
      </c>
      <c r="AM88" s="6" t="str" cm="1">
        <f t="array" aca="1" ref="AM88" ca="1">IFERROR(INDEX(INDEX(INDIRECT($A$2&amp;$AI88,TRUE),0),AM$2),"")</f>
        <v/>
      </c>
      <c r="AN88" s="6" t="str" cm="1">
        <f t="array" aca="1" ref="AN88" ca="1">IFERROR(INDEX(INDEX(INDIRECT($A$2&amp;$AI88,TRUE),0),AN$2),"")</f>
        <v/>
      </c>
      <c r="AO88" s="6" t="str" cm="1">
        <f t="array" aca="1" ref="AO88" ca="1">IFERROR(INDEX(INDEX(INDIRECT($A$2&amp;$AI88,TRUE),0),AO$2),"")</f>
        <v/>
      </c>
      <c r="AP88" s="6" t="str" cm="1">
        <f t="array" aca="1" ref="AP88" ca="1">IFERROR(INDEX(INDEX(INDIRECT($A$2&amp;$AI88,TRUE),0),AP$2),"")</f>
        <v/>
      </c>
      <c r="AQ88" s="6" t="str" cm="1">
        <f t="array" aca="1" ref="AQ88" ca="1">IFERROR(INDEX(INDEX(INDIRECT($A$2&amp;$AI88,TRUE),0),AQ$2),"")</f>
        <v/>
      </c>
      <c r="AR88" s="6" t="str" cm="1">
        <f t="array" aca="1" ref="AR88" ca="1">IFERROR(INDEX(INDEX(INDIRECT($A$2&amp;$AI88,TRUE),0),AR$2),"")</f>
        <v/>
      </c>
      <c r="AS88" s="6" t="str" cm="1">
        <f t="array" aca="1" ref="AS88" ca="1">IFERROR(INDEX(INDEX(INDIRECT($A$2&amp;$AI88,TRUE),0),AS$2),"")</f>
        <v/>
      </c>
      <c r="AT88" s="6" t="str" cm="1">
        <f t="array" aca="1" ref="AT88" ca="1">IFERROR(INDEX(INDEX(INDIRECT($A$2&amp;$AI88,TRUE),0),AT$2),"")</f>
        <v/>
      </c>
      <c r="AU88" s="6"/>
    </row>
    <row r="89" spans="34:47">
      <c r="AH89" s="6">
        <v>6</v>
      </c>
      <c r="AI89" s="6" t="e">
        <f t="shared" si="99"/>
        <v>#N/A</v>
      </c>
      <c r="AJ89" s="6" t="s">
        <v>41</v>
      </c>
      <c r="AK89" s="6" t="str" cm="1">
        <f t="array" aca="1" ref="AK89" ca="1">IFERROR(INDEX(INDEX(INDIRECT($A$2&amp;$AI89,TRUE),0),AK$2),"")</f>
        <v/>
      </c>
      <c r="AL89" s="6" t="str" cm="1">
        <f t="array" aca="1" ref="AL89" ca="1">IFERROR(INDEX(INDEX(INDIRECT($A$2&amp;$AI89,TRUE),0),AL$2),"")</f>
        <v/>
      </c>
      <c r="AM89" s="6" t="str" cm="1">
        <f t="array" aca="1" ref="AM89" ca="1">IFERROR(INDEX(INDEX(INDIRECT($A$2&amp;$AI89,TRUE),0),AM$2),"")</f>
        <v/>
      </c>
      <c r="AN89" s="6" t="str" cm="1">
        <f t="array" aca="1" ref="AN89" ca="1">IFERROR(INDEX(INDEX(INDIRECT($A$2&amp;$AI89,TRUE),0),AN$2),"")</f>
        <v/>
      </c>
      <c r="AO89" s="6" t="str" cm="1">
        <f t="array" aca="1" ref="AO89" ca="1">IFERROR(INDEX(INDEX(INDIRECT($A$2&amp;$AI89,TRUE),0),AO$2),"")</f>
        <v/>
      </c>
      <c r="AP89" s="6" t="str" cm="1">
        <f t="array" aca="1" ref="AP89" ca="1">IFERROR(INDEX(INDEX(INDIRECT($A$2&amp;$AI89,TRUE),0),AP$2),"")</f>
        <v/>
      </c>
      <c r="AQ89" s="6" t="str" cm="1">
        <f t="array" aca="1" ref="AQ89" ca="1">IFERROR(INDEX(INDEX(INDIRECT($A$2&amp;$AI89,TRUE),0),AQ$2),"")</f>
        <v/>
      </c>
      <c r="AR89" s="6" t="str" cm="1">
        <f t="array" aca="1" ref="AR89" ca="1">IFERROR(INDEX(INDEX(INDIRECT($A$2&amp;$AI89,TRUE),0),AR$2),"")</f>
        <v/>
      </c>
      <c r="AS89" s="6" t="str" cm="1">
        <f t="array" aca="1" ref="AS89" ca="1">IFERROR(INDEX(INDEX(INDIRECT($A$2&amp;$AI89,TRUE),0),AS$2),"")</f>
        <v/>
      </c>
      <c r="AT89" s="6" t="str" cm="1">
        <f t="array" aca="1" ref="AT89" ca="1">IFERROR(INDEX(INDEX(INDIRECT($A$2&amp;$AI89,TRUE),0),AT$2),"")</f>
        <v/>
      </c>
      <c r="AU89" s="6"/>
    </row>
    <row r="90" spans="34:47">
      <c r="AI90" t="s">
        <v>63</v>
      </c>
      <c r="AJ90" s="8">
        <f>AJ83-1</f>
        <v>-12</v>
      </c>
      <c r="AK90" s="9" t="e">
        <f>" ("&amp;CHOOSE(WEEKDAY(AJ90,1),"日","月","火","水","木","金","土")&amp;")"</f>
        <v>#NUM!</v>
      </c>
      <c r="AL90" s="10"/>
      <c r="AM90" s="10"/>
      <c r="AN90" s="10"/>
      <c r="AO90" s="10"/>
      <c r="AP90" s="10"/>
      <c r="AQ90" s="10"/>
      <c r="AR90" s="10"/>
      <c r="AS90" s="10"/>
      <c r="AT90" s="10"/>
      <c r="AU90" s="6"/>
    </row>
    <row r="91" spans="34:47">
      <c r="AH91" s="6">
        <v>1</v>
      </c>
      <c r="AI91" s="6" t="e">
        <f>INDEX($T$4:$AE$32,MATCH($AJ$90,$B$4:$B$34,0),MATCH($AJ91,$T$3:$AE$3,0))</f>
        <v>#N/A</v>
      </c>
      <c r="AJ91" s="6" t="s">
        <v>19</v>
      </c>
      <c r="AK91" s="6" t="str" cm="1">
        <f t="array" aca="1" ref="AK91" ca="1">IFERROR(INDEX(INDEX(INDIRECT($A$2&amp;$AI91,TRUE),0),AK$2),"")</f>
        <v/>
      </c>
      <c r="AL91" s="6" t="str" cm="1">
        <f t="array" aca="1" ref="AL91" ca="1">IFERROR(INDEX(INDEX(INDIRECT($A$2&amp;$AI91,TRUE),0),AL$2),"")</f>
        <v/>
      </c>
      <c r="AM91" s="6" t="str" cm="1">
        <f t="array" aca="1" ref="AM91" ca="1">IFERROR(INDEX(INDEX(INDIRECT($A$2&amp;$AI91,TRUE),0),AM$2),"")</f>
        <v/>
      </c>
      <c r="AN91" s="6" t="str" cm="1">
        <f t="array" aca="1" ref="AN91" ca="1">IFERROR(INDEX(INDEX(INDIRECT($A$2&amp;$AI91,TRUE),0),AN$2),"")</f>
        <v/>
      </c>
      <c r="AO91" s="6" t="str" cm="1">
        <f t="array" aca="1" ref="AO91" ca="1">IFERROR(INDEX(INDEX(INDIRECT($A$2&amp;$AI91,TRUE),0),AO$2),"")</f>
        <v/>
      </c>
      <c r="AP91" s="6" t="str" cm="1">
        <f t="array" aca="1" ref="AP91" ca="1">IFERROR(INDEX(INDEX(INDIRECT($A$2&amp;$AI91,TRUE),0),AP$2),"")</f>
        <v/>
      </c>
      <c r="AQ91" s="6" t="str" cm="1">
        <f t="array" aca="1" ref="AQ91" ca="1">IFERROR(INDEX(INDEX(INDIRECT($A$2&amp;$AI91,TRUE),0),AQ$2),"")</f>
        <v/>
      </c>
      <c r="AR91" s="6" t="str" cm="1">
        <f t="array" aca="1" ref="AR91" ca="1">IFERROR(INDEX(INDEX(INDIRECT($A$2&amp;$AI91,TRUE),0),AR$2),"")</f>
        <v/>
      </c>
      <c r="AS91" s="6" t="str" cm="1">
        <f t="array" aca="1" ref="AS91" ca="1">IFERROR(INDEX(INDEX(INDIRECT($A$2&amp;$AI91,TRUE),0),AS$2),"")</f>
        <v/>
      </c>
      <c r="AT91" s="6" t="str" cm="1">
        <f t="array" aca="1" ref="AT91" ca="1">IFERROR(INDEX(INDEX(INDIRECT($A$2&amp;$AI91,TRUE),0),AT$2),"")</f>
        <v/>
      </c>
      <c r="AU91" s="6"/>
    </row>
    <row r="92" spans="34:47">
      <c r="AH92" s="6">
        <v>2</v>
      </c>
      <c r="AI92" s="6" t="e">
        <f t="shared" ref="AI92:AI96" si="100">INDEX($T$4:$AE$32,MATCH($AJ$90,$B$4:$B$34,0),MATCH($AJ92,$T$3:$AE$3,0))</f>
        <v>#N/A</v>
      </c>
      <c r="AJ92" s="6" t="s">
        <v>24</v>
      </c>
      <c r="AK92" s="6" t="str" cm="1">
        <f t="array" aca="1" ref="AK92" ca="1">IFERROR(INDEX(INDEX(INDIRECT($A$2&amp;$AI92,TRUE),0),AK$2),"")</f>
        <v/>
      </c>
      <c r="AL92" s="6" t="str" cm="1">
        <f t="array" aca="1" ref="AL92" ca="1">IFERROR(INDEX(INDEX(INDIRECT($A$2&amp;$AI92,TRUE),0),AL$2),"")</f>
        <v/>
      </c>
      <c r="AM92" s="6" t="str" cm="1">
        <f t="array" aca="1" ref="AM92" ca="1">IFERROR(INDEX(INDEX(INDIRECT($A$2&amp;$AI92,TRUE),0),AM$2),"")</f>
        <v/>
      </c>
      <c r="AN92" s="6" t="str" cm="1">
        <f t="array" aca="1" ref="AN92" ca="1">IFERROR(INDEX(INDEX(INDIRECT($A$2&amp;$AI92,TRUE),0),AN$2),"")</f>
        <v/>
      </c>
      <c r="AO92" s="6" t="str" cm="1">
        <f t="array" aca="1" ref="AO92" ca="1">IFERROR(INDEX(INDEX(INDIRECT($A$2&amp;$AI92,TRUE),0),AO$2),"")</f>
        <v/>
      </c>
      <c r="AP92" s="6" t="str" cm="1">
        <f t="array" aca="1" ref="AP92" ca="1">IFERROR(INDEX(INDEX(INDIRECT($A$2&amp;$AI92,TRUE),0),AP$2),"")</f>
        <v/>
      </c>
      <c r="AQ92" s="6" t="str" cm="1">
        <f t="array" aca="1" ref="AQ92" ca="1">IFERROR(INDEX(INDEX(INDIRECT($A$2&amp;$AI92,TRUE),0),AQ$2),"")</f>
        <v/>
      </c>
      <c r="AR92" s="6" t="str" cm="1">
        <f t="array" aca="1" ref="AR92" ca="1">IFERROR(INDEX(INDEX(INDIRECT($A$2&amp;$AI92,TRUE),0),AR$2),"")</f>
        <v/>
      </c>
      <c r="AS92" s="6" t="str" cm="1">
        <f t="array" aca="1" ref="AS92" ca="1">IFERROR(INDEX(INDEX(INDIRECT($A$2&amp;$AI92,TRUE),0),AS$2),"")</f>
        <v/>
      </c>
      <c r="AT92" s="6" t="str" cm="1">
        <f t="array" aca="1" ref="AT92" ca="1">IFERROR(INDEX(INDEX(INDIRECT($A$2&amp;$AI92,TRUE),0),AT$2),"")</f>
        <v/>
      </c>
      <c r="AU92" s="6"/>
    </row>
    <row r="93" spans="34:47">
      <c r="AH93" s="6">
        <v>3</v>
      </c>
      <c r="AI93" s="6" t="e">
        <f t="shared" si="100"/>
        <v>#N/A</v>
      </c>
      <c r="AJ93" s="6" t="s">
        <v>11</v>
      </c>
      <c r="AK93" s="6" t="str" cm="1">
        <f t="array" aca="1" ref="AK93" ca="1">IFERROR(INDEX(INDEX(INDIRECT($A$2&amp;$AI93,TRUE),0),AK$2),"")</f>
        <v/>
      </c>
      <c r="AL93" s="6" t="str" cm="1">
        <f t="array" aca="1" ref="AL93" ca="1">IFERROR(INDEX(INDEX(INDIRECT($A$2&amp;$AI93,TRUE),0),AL$2),"")</f>
        <v/>
      </c>
      <c r="AM93" s="6" t="str" cm="1">
        <f t="array" aca="1" ref="AM93" ca="1">IFERROR(INDEX(INDEX(INDIRECT($A$2&amp;$AI93,TRUE),0),AM$2),"")</f>
        <v/>
      </c>
      <c r="AN93" s="6" t="str" cm="1">
        <f t="array" aca="1" ref="AN93" ca="1">IFERROR(INDEX(INDEX(INDIRECT($A$2&amp;$AI93,TRUE),0),AN$2),"")</f>
        <v/>
      </c>
      <c r="AO93" s="6" t="str" cm="1">
        <f t="array" aca="1" ref="AO93" ca="1">IFERROR(INDEX(INDEX(INDIRECT($A$2&amp;$AI93,TRUE),0),AO$2),"")</f>
        <v/>
      </c>
      <c r="AP93" s="6" t="str" cm="1">
        <f t="array" aca="1" ref="AP93" ca="1">IFERROR(INDEX(INDEX(INDIRECT($A$2&amp;$AI93,TRUE),0),AP$2),"")</f>
        <v/>
      </c>
      <c r="AQ93" s="6" t="str" cm="1">
        <f t="array" aca="1" ref="AQ93" ca="1">IFERROR(INDEX(INDEX(INDIRECT($A$2&amp;$AI93,TRUE),0),AQ$2),"")</f>
        <v/>
      </c>
      <c r="AR93" s="6" t="str" cm="1">
        <f t="array" aca="1" ref="AR93" ca="1">IFERROR(INDEX(INDEX(INDIRECT($A$2&amp;$AI93,TRUE),0),AR$2),"")</f>
        <v/>
      </c>
      <c r="AS93" s="6" t="str" cm="1">
        <f t="array" aca="1" ref="AS93" ca="1">IFERROR(INDEX(INDEX(INDIRECT($A$2&amp;$AI93,TRUE),0),AS$2),"")</f>
        <v/>
      </c>
      <c r="AT93" s="6" t="str" cm="1">
        <f t="array" aca="1" ref="AT93" ca="1">IFERROR(INDEX(INDEX(INDIRECT($A$2&amp;$AI93,TRUE),0),AT$2),"")</f>
        <v/>
      </c>
      <c r="AU93" s="6"/>
    </row>
    <row r="94" spans="34:47">
      <c r="AH94" s="6">
        <v>4</v>
      </c>
      <c r="AI94" s="6" t="e">
        <f t="shared" si="100"/>
        <v>#N/A</v>
      </c>
      <c r="AJ94" s="6" t="s">
        <v>32</v>
      </c>
      <c r="AK94" s="6" t="str" cm="1">
        <f t="array" aca="1" ref="AK94" ca="1">IFERROR(INDEX(INDEX(INDIRECT($A$2&amp;$AI94,TRUE),0),AK$2),"")</f>
        <v/>
      </c>
      <c r="AL94" s="6" t="str" cm="1">
        <f t="array" aca="1" ref="AL94" ca="1">IFERROR(INDEX(INDEX(INDIRECT($A$2&amp;$AI94,TRUE),0),AL$2),"")</f>
        <v/>
      </c>
      <c r="AM94" s="6" t="str" cm="1">
        <f t="array" aca="1" ref="AM94" ca="1">IFERROR(INDEX(INDEX(INDIRECT($A$2&amp;$AI94,TRUE),0),AM$2),"")</f>
        <v/>
      </c>
      <c r="AN94" s="6" t="str" cm="1">
        <f t="array" aca="1" ref="AN94" ca="1">IFERROR(INDEX(INDEX(INDIRECT($A$2&amp;$AI94,TRUE),0),AN$2),"")</f>
        <v/>
      </c>
      <c r="AO94" s="6" t="str" cm="1">
        <f t="array" aca="1" ref="AO94" ca="1">IFERROR(INDEX(INDEX(INDIRECT($A$2&amp;$AI94,TRUE),0),AO$2),"")</f>
        <v/>
      </c>
      <c r="AP94" s="6" t="str" cm="1">
        <f t="array" aca="1" ref="AP94" ca="1">IFERROR(INDEX(INDEX(INDIRECT($A$2&amp;$AI94,TRUE),0),AP$2),"")</f>
        <v/>
      </c>
      <c r="AQ94" s="6" t="str" cm="1">
        <f t="array" aca="1" ref="AQ94" ca="1">IFERROR(INDEX(INDEX(INDIRECT($A$2&amp;$AI94,TRUE),0),AQ$2),"")</f>
        <v/>
      </c>
      <c r="AR94" s="6" t="str" cm="1">
        <f t="array" aca="1" ref="AR94" ca="1">IFERROR(INDEX(INDEX(INDIRECT($A$2&amp;$AI94,TRUE),0),AR$2),"")</f>
        <v/>
      </c>
      <c r="AS94" s="6" t="str" cm="1">
        <f t="array" aca="1" ref="AS94" ca="1">IFERROR(INDEX(INDEX(INDIRECT($A$2&amp;$AI94,TRUE),0),AS$2),"")</f>
        <v/>
      </c>
      <c r="AT94" s="6" t="str" cm="1">
        <f t="array" aca="1" ref="AT94" ca="1">IFERROR(INDEX(INDEX(INDIRECT($A$2&amp;$AI94,TRUE),0),AT$2),"")</f>
        <v/>
      </c>
      <c r="AU94" s="6"/>
    </row>
    <row r="95" spans="34:47">
      <c r="AH95" s="6">
        <v>5</v>
      </c>
      <c r="AI95" s="6" t="e">
        <f t="shared" si="100"/>
        <v>#N/A</v>
      </c>
      <c r="AJ95" s="6" t="s">
        <v>37</v>
      </c>
      <c r="AK95" s="6" t="str" cm="1">
        <f t="array" aca="1" ref="AK95" ca="1">IFERROR(INDEX(INDEX(INDIRECT($A$2&amp;$AI95,TRUE),0),AK$2),"")</f>
        <v/>
      </c>
      <c r="AL95" s="6" t="str" cm="1">
        <f t="array" aca="1" ref="AL95" ca="1">IFERROR(INDEX(INDEX(INDIRECT($A$2&amp;$AI95,TRUE),0),AL$2),"")</f>
        <v/>
      </c>
      <c r="AM95" s="6" t="str" cm="1">
        <f t="array" aca="1" ref="AM95" ca="1">IFERROR(INDEX(INDEX(INDIRECT($A$2&amp;$AI95,TRUE),0),AM$2),"")</f>
        <v/>
      </c>
      <c r="AN95" s="6" t="str" cm="1">
        <f t="array" aca="1" ref="AN95" ca="1">IFERROR(INDEX(INDEX(INDIRECT($A$2&amp;$AI95,TRUE),0),AN$2),"")</f>
        <v/>
      </c>
      <c r="AO95" s="6" t="str" cm="1">
        <f t="array" aca="1" ref="AO95" ca="1">IFERROR(INDEX(INDEX(INDIRECT($A$2&amp;$AI95,TRUE),0),AO$2),"")</f>
        <v/>
      </c>
      <c r="AP95" s="6" t="str" cm="1">
        <f t="array" aca="1" ref="AP95" ca="1">IFERROR(INDEX(INDEX(INDIRECT($A$2&amp;$AI95,TRUE),0),AP$2),"")</f>
        <v/>
      </c>
      <c r="AQ95" s="6" t="str" cm="1">
        <f t="array" aca="1" ref="AQ95" ca="1">IFERROR(INDEX(INDEX(INDIRECT($A$2&amp;$AI95,TRUE),0),AQ$2),"")</f>
        <v/>
      </c>
      <c r="AR95" s="6" t="str" cm="1">
        <f t="array" aca="1" ref="AR95" ca="1">IFERROR(INDEX(INDEX(INDIRECT($A$2&amp;$AI95,TRUE),0),AR$2),"")</f>
        <v/>
      </c>
      <c r="AS95" s="6" t="str" cm="1">
        <f t="array" aca="1" ref="AS95" ca="1">IFERROR(INDEX(INDEX(INDIRECT($A$2&amp;$AI95,TRUE),0),AS$2),"")</f>
        <v/>
      </c>
      <c r="AT95" s="6" t="str" cm="1">
        <f t="array" aca="1" ref="AT95" ca="1">IFERROR(INDEX(INDEX(INDIRECT($A$2&amp;$AI95,TRUE),0),AT$2),"")</f>
        <v/>
      </c>
      <c r="AU95" s="6"/>
    </row>
    <row r="96" spans="34:47">
      <c r="AH96" s="6">
        <v>6</v>
      </c>
      <c r="AI96" s="6" t="e">
        <f t="shared" si="100"/>
        <v>#N/A</v>
      </c>
      <c r="AJ96" s="6" t="s">
        <v>41</v>
      </c>
      <c r="AK96" s="6" t="str" cm="1">
        <f t="array" aca="1" ref="AK96" ca="1">IFERROR(INDEX(INDEX(INDIRECT($A$2&amp;$AI96,TRUE),0),AK$2),"")</f>
        <v/>
      </c>
      <c r="AL96" s="6" t="str" cm="1">
        <f t="array" aca="1" ref="AL96" ca="1">IFERROR(INDEX(INDEX(INDIRECT($A$2&amp;$AI96,TRUE),0),AL$2),"")</f>
        <v/>
      </c>
      <c r="AM96" s="6" t="str" cm="1">
        <f t="array" aca="1" ref="AM96" ca="1">IFERROR(INDEX(INDEX(INDIRECT($A$2&amp;$AI96,TRUE),0),AM$2),"")</f>
        <v/>
      </c>
      <c r="AN96" s="6" t="str" cm="1">
        <f t="array" aca="1" ref="AN96" ca="1">IFERROR(INDEX(INDEX(INDIRECT($A$2&amp;$AI96,TRUE),0),AN$2),"")</f>
        <v/>
      </c>
      <c r="AO96" s="6" t="str" cm="1">
        <f t="array" aca="1" ref="AO96" ca="1">IFERROR(INDEX(INDEX(INDIRECT($A$2&amp;$AI96,TRUE),0),AO$2),"")</f>
        <v/>
      </c>
      <c r="AP96" s="6" t="str" cm="1">
        <f t="array" aca="1" ref="AP96" ca="1">IFERROR(INDEX(INDEX(INDIRECT($A$2&amp;$AI96,TRUE),0),AP$2),"")</f>
        <v/>
      </c>
      <c r="AQ96" s="6" t="str" cm="1">
        <f t="array" aca="1" ref="AQ96" ca="1">IFERROR(INDEX(INDEX(INDIRECT($A$2&amp;$AI96,TRUE),0),AQ$2),"")</f>
        <v/>
      </c>
      <c r="AR96" s="6" t="str" cm="1">
        <f t="array" aca="1" ref="AR96" ca="1">IFERROR(INDEX(INDEX(INDIRECT($A$2&amp;$AI96,TRUE),0),AR$2),"")</f>
        <v/>
      </c>
      <c r="AS96" s="6" t="str" cm="1">
        <f t="array" aca="1" ref="AS96" ca="1">IFERROR(INDEX(INDEX(INDIRECT($A$2&amp;$AI96,TRUE),0),AS$2),"")</f>
        <v/>
      </c>
      <c r="AT96" s="6" t="str" cm="1">
        <f t="array" aca="1" ref="AT96" ca="1">IFERROR(INDEX(INDEX(INDIRECT($A$2&amp;$AI96,TRUE),0),AT$2),"")</f>
        <v/>
      </c>
      <c r="AU96" s="6"/>
    </row>
    <row r="97" spans="34:47">
      <c r="AI97" t="s">
        <v>63</v>
      </c>
      <c r="AJ97" s="8">
        <f>AJ90-1</f>
        <v>-13</v>
      </c>
      <c r="AK97" s="9" t="e">
        <f>" ("&amp;CHOOSE(WEEKDAY(AJ97,1),"日","月","火","水","木","金","土")&amp;")"</f>
        <v>#NUM!</v>
      </c>
      <c r="AL97" s="10"/>
      <c r="AM97" s="10"/>
      <c r="AN97" s="10"/>
      <c r="AO97" s="10"/>
      <c r="AP97" s="10"/>
      <c r="AQ97" s="10"/>
      <c r="AR97" s="10"/>
      <c r="AS97" s="10"/>
      <c r="AT97" s="10"/>
      <c r="AU97" s="6"/>
    </row>
    <row r="98" spans="34:47">
      <c r="AH98" s="6">
        <v>1</v>
      </c>
      <c r="AI98" s="6" t="e">
        <f>INDEX($T$4:$AE$32,MATCH($AJ$97,$B$4:$B$34,0),MATCH($AJ98,$T$3:$AE$3,0))</f>
        <v>#N/A</v>
      </c>
      <c r="AJ98" s="6" t="s">
        <v>19</v>
      </c>
      <c r="AK98" s="6" t="str" cm="1">
        <f t="array" aca="1" ref="AK98" ca="1">IFERROR(INDEX(INDEX(INDIRECT($A$2&amp;$AI98,TRUE),0),AK$2),"")</f>
        <v/>
      </c>
      <c r="AL98" s="6" t="str" cm="1">
        <f t="array" aca="1" ref="AL98" ca="1">IFERROR(INDEX(INDEX(INDIRECT($A$2&amp;$AI98,TRUE),0),AL$2),"")</f>
        <v/>
      </c>
      <c r="AM98" s="6" t="str" cm="1">
        <f t="array" aca="1" ref="AM98" ca="1">IFERROR(INDEX(INDEX(INDIRECT($A$2&amp;$AI98,TRUE),0),AM$2),"")</f>
        <v/>
      </c>
      <c r="AN98" s="6" t="str" cm="1">
        <f t="array" aca="1" ref="AN98" ca="1">IFERROR(INDEX(INDEX(INDIRECT($A$2&amp;$AI98,TRUE),0),AN$2),"")</f>
        <v/>
      </c>
      <c r="AO98" s="6" t="str" cm="1">
        <f t="array" aca="1" ref="AO98" ca="1">IFERROR(INDEX(INDEX(INDIRECT($A$2&amp;$AI98,TRUE),0),AO$2),"")</f>
        <v/>
      </c>
      <c r="AP98" s="6" t="str" cm="1">
        <f t="array" aca="1" ref="AP98" ca="1">IFERROR(INDEX(INDEX(INDIRECT($A$2&amp;$AI98,TRUE),0),AP$2),"")</f>
        <v/>
      </c>
      <c r="AQ98" s="6" t="str" cm="1">
        <f t="array" aca="1" ref="AQ98" ca="1">IFERROR(INDEX(INDEX(INDIRECT($A$2&amp;$AI98,TRUE),0),AQ$2),"")</f>
        <v/>
      </c>
      <c r="AR98" s="6" t="str" cm="1">
        <f t="array" aca="1" ref="AR98" ca="1">IFERROR(INDEX(INDEX(INDIRECT($A$2&amp;$AI98,TRUE),0),AR$2),"")</f>
        <v/>
      </c>
      <c r="AS98" s="6" t="str" cm="1">
        <f t="array" aca="1" ref="AS98" ca="1">IFERROR(INDEX(INDEX(INDIRECT($A$2&amp;$AI98,TRUE),0),AS$2),"")</f>
        <v/>
      </c>
      <c r="AT98" s="6" t="str" cm="1">
        <f t="array" aca="1" ref="AT98" ca="1">IFERROR(INDEX(INDEX(INDIRECT($A$2&amp;$AI98,TRUE),0),AT$2),"")</f>
        <v/>
      </c>
      <c r="AU98" s="6"/>
    </row>
    <row r="99" spans="34:47">
      <c r="AH99" s="6">
        <v>2</v>
      </c>
      <c r="AI99" s="6" t="e">
        <f t="shared" ref="AI99:AI103" si="101">INDEX($T$4:$AE$32,MATCH($AJ$97,$B$4:$B$34,0),MATCH($AJ99,$T$3:$AE$3,0))</f>
        <v>#N/A</v>
      </c>
      <c r="AJ99" s="6" t="s">
        <v>24</v>
      </c>
      <c r="AK99" s="6" t="str" cm="1">
        <f t="array" aca="1" ref="AK99" ca="1">IFERROR(INDEX(INDEX(INDIRECT($A$2&amp;$AI99,TRUE),0),AK$2),"")</f>
        <v/>
      </c>
      <c r="AL99" s="6" t="str" cm="1">
        <f t="array" aca="1" ref="AL99" ca="1">IFERROR(INDEX(INDEX(INDIRECT($A$2&amp;$AI99,TRUE),0),AL$2),"")</f>
        <v/>
      </c>
      <c r="AM99" s="6" t="str" cm="1">
        <f t="array" aca="1" ref="AM99" ca="1">IFERROR(INDEX(INDEX(INDIRECT($A$2&amp;$AI99,TRUE),0),AM$2),"")</f>
        <v/>
      </c>
      <c r="AN99" s="6" t="str" cm="1">
        <f t="array" aca="1" ref="AN99" ca="1">IFERROR(INDEX(INDEX(INDIRECT($A$2&amp;$AI99,TRUE),0),AN$2),"")</f>
        <v/>
      </c>
      <c r="AO99" s="6" t="str" cm="1">
        <f t="array" aca="1" ref="AO99" ca="1">IFERROR(INDEX(INDEX(INDIRECT($A$2&amp;$AI99,TRUE),0),AO$2),"")</f>
        <v/>
      </c>
      <c r="AP99" s="6" t="str" cm="1">
        <f t="array" aca="1" ref="AP99" ca="1">IFERROR(INDEX(INDEX(INDIRECT($A$2&amp;$AI99,TRUE),0),AP$2),"")</f>
        <v/>
      </c>
      <c r="AQ99" s="6" t="str" cm="1">
        <f t="array" aca="1" ref="AQ99" ca="1">IFERROR(INDEX(INDEX(INDIRECT($A$2&amp;$AI99,TRUE),0),AQ$2),"")</f>
        <v/>
      </c>
      <c r="AR99" s="6" t="str" cm="1">
        <f t="array" aca="1" ref="AR99" ca="1">IFERROR(INDEX(INDEX(INDIRECT($A$2&amp;$AI99,TRUE),0),AR$2),"")</f>
        <v/>
      </c>
      <c r="AS99" s="6" t="str" cm="1">
        <f t="array" aca="1" ref="AS99" ca="1">IFERROR(INDEX(INDEX(INDIRECT($A$2&amp;$AI99,TRUE),0),AS$2),"")</f>
        <v/>
      </c>
      <c r="AT99" s="6" t="str" cm="1">
        <f t="array" aca="1" ref="AT99" ca="1">IFERROR(INDEX(INDEX(INDIRECT($A$2&amp;$AI99,TRUE),0),AT$2),"")</f>
        <v/>
      </c>
      <c r="AU99" s="6"/>
    </row>
    <row r="100" spans="34:47">
      <c r="AH100" s="6">
        <v>3</v>
      </c>
      <c r="AI100" s="6" t="e">
        <f t="shared" si="101"/>
        <v>#N/A</v>
      </c>
      <c r="AJ100" s="6" t="s">
        <v>11</v>
      </c>
      <c r="AK100" s="6" t="str" cm="1">
        <f t="array" aca="1" ref="AK100" ca="1">IFERROR(INDEX(INDEX(INDIRECT($A$2&amp;$AI100,TRUE),0),AK$2),"")</f>
        <v/>
      </c>
      <c r="AL100" s="6" t="str" cm="1">
        <f t="array" aca="1" ref="AL100" ca="1">IFERROR(INDEX(INDEX(INDIRECT($A$2&amp;$AI100,TRUE),0),AL$2),"")</f>
        <v/>
      </c>
      <c r="AM100" s="6" t="str" cm="1">
        <f t="array" aca="1" ref="AM100" ca="1">IFERROR(INDEX(INDEX(INDIRECT($A$2&amp;$AI100,TRUE),0),AM$2),"")</f>
        <v/>
      </c>
      <c r="AN100" s="6" t="str" cm="1">
        <f t="array" aca="1" ref="AN100" ca="1">IFERROR(INDEX(INDEX(INDIRECT($A$2&amp;$AI100,TRUE),0),AN$2),"")</f>
        <v/>
      </c>
      <c r="AO100" s="6" t="str" cm="1">
        <f t="array" aca="1" ref="AO100" ca="1">IFERROR(INDEX(INDEX(INDIRECT($A$2&amp;$AI100,TRUE),0),AO$2),"")</f>
        <v/>
      </c>
      <c r="AP100" s="6" t="str" cm="1">
        <f t="array" aca="1" ref="AP100" ca="1">IFERROR(INDEX(INDEX(INDIRECT($A$2&amp;$AI100,TRUE),0),AP$2),"")</f>
        <v/>
      </c>
      <c r="AQ100" s="6" t="str" cm="1">
        <f t="array" aca="1" ref="AQ100" ca="1">IFERROR(INDEX(INDEX(INDIRECT($A$2&amp;$AI100,TRUE),0),AQ$2),"")</f>
        <v/>
      </c>
      <c r="AR100" s="6" t="str" cm="1">
        <f t="array" aca="1" ref="AR100" ca="1">IFERROR(INDEX(INDEX(INDIRECT($A$2&amp;$AI100,TRUE),0),AR$2),"")</f>
        <v/>
      </c>
      <c r="AS100" s="6" t="str" cm="1">
        <f t="array" aca="1" ref="AS100" ca="1">IFERROR(INDEX(INDEX(INDIRECT($A$2&amp;$AI100,TRUE),0),AS$2),"")</f>
        <v/>
      </c>
      <c r="AT100" s="6" t="str" cm="1">
        <f t="array" aca="1" ref="AT100" ca="1">IFERROR(INDEX(INDEX(INDIRECT($A$2&amp;$AI100,TRUE),0),AT$2),"")</f>
        <v/>
      </c>
      <c r="AU100" s="6"/>
    </row>
    <row r="101" spans="34:47">
      <c r="AH101" s="6">
        <v>4</v>
      </c>
      <c r="AI101" s="6" t="e">
        <f t="shared" si="101"/>
        <v>#N/A</v>
      </c>
      <c r="AJ101" s="6" t="s">
        <v>32</v>
      </c>
      <c r="AK101" s="6" t="str" cm="1">
        <f t="array" aca="1" ref="AK101" ca="1">IFERROR(INDEX(INDEX(INDIRECT($A$2&amp;$AI101,TRUE),0),AK$2),"")</f>
        <v/>
      </c>
      <c r="AL101" s="6" t="str" cm="1">
        <f t="array" aca="1" ref="AL101" ca="1">IFERROR(INDEX(INDEX(INDIRECT($A$2&amp;$AI101,TRUE),0),AL$2),"")</f>
        <v/>
      </c>
      <c r="AM101" s="6" t="str" cm="1">
        <f t="array" aca="1" ref="AM101" ca="1">IFERROR(INDEX(INDEX(INDIRECT($A$2&amp;$AI101,TRUE),0),AM$2),"")</f>
        <v/>
      </c>
      <c r="AN101" s="6" t="str" cm="1">
        <f t="array" aca="1" ref="AN101" ca="1">IFERROR(INDEX(INDEX(INDIRECT($A$2&amp;$AI101,TRUE),0),AN$2),"")</f>
        <v/>
      </c>
      <c r="AO101" s="6" t="str" cm="1">
        <f t="array" aca="1" ref="AO101" ca="1">IFERROR(INDEX(INDEX(INDIRECT($A$2&amp;$AI101,TRUE),0),AO$2),"")</f>
        <v/>
      </c>
      <c r="AP101" s="6" t="str" cm="1">
        <f t="array" aca="1" ref="AP101" ca="1">IFERROR(INDEX(INDEX(INDIRECT($A$2&amp;$AI101,TRUE),0),AP$2),"")</f>
        <v/>
      </c>
      <c r="AQ101" s="6" t="str" cm="1">
        <f t="array" aca="1" ref="AQ101" ca="1">IFERROR(INDEX(INDEX(INDIRECT($A$2&amp;$AI101,TRUE),0),AQ$2),"")</f>
        <v/>
      </c>
      <c r="AR101" s="6" t="str" cm="1">
        <f t="array" aca="1" ref="AR101" ca="1">IFERROR(INDEX(INDEX(INDIRECT($A$2&amp;$AI101,TRUE),0),AR$2),"")</f>
        <v/>
      </c>
      <c r="AS101" s="6" t="str" cm="1">
        <f t="array" aca="1" ref="AS101" ca="1">IFERROR(INDEX(INDEX(INDIRECT($A$2&amp;$AI101,TRUE),0),AS$2),"")</f>
        <v/>
      </c>
      <c r="AT101" s="6" t="str" cm="1">
        <f t="array" aca="1" ref="AT101" ca="1">IFERROR(INDEX(INDEX(INDIRECT($A$2&amp;$AI101,TRUE),0),AT$2),"")</f>
        <v/>
      </c>
      <c r="AU101" s="6"/>
    </row>
    <row r="102" spans="34:47">
      <c r="AH102" s="6">
        <v>5</v>
      </c>
      <c r="AI102" s="6" t="e">
        <f t="shared" si="101"/>
        <v>#N/A</v>
      </c>
      <c r="AJ102" s="6" t="s">
        <v>37</v>
      </c>
      <c r="AK102" s="6" t="str" cm="1">
        <f t="array" aca="1" ref="AK102" ca="1">IFERROR(INDEX(INDEX(INDIRECT($A$2&amp;$AI102,TRUE),0),AK$2),"")</f>
        <v/>
      </c>
      <c r="AL102" s="6" t="str" cm="1">
        <f t="array" aca="1" ref="AL102" ca="1">IFERROR(INDEX(INDEX(INDIRECT($A$2&amp;$AI102,TRUE),0),AL$2),"")</f>
        <v/>
      </c>
      <c r="AM102" s="6" t="str" cm="1">
        <f t="array" aca="1" ref="AM102" ca="1">IFERROR(INDEX(INDEX(INDIRECT($A$2&amp;$AI102,TRUE),0),AM$2),"")</f>
        <v/>
      </c>
      <c r="AN102" s="6" t="str" cm="1">
        <f t="array" aca="1" ref="AN102" ca="1">IFERROR(INDEX(INDEX(INDIRECT($A$2&amp;$AI102,TRUE),0),AN$2),"")</f>
        <v/>
      </c>
      <c r="AO102" s="6" t="str" cm="1">
        <f t="array" aca="1" ref="AO102" ca="1">IFERROR(INDEX(INDEX(INDIRECT($A$2&amp;$AI102,TRUE),0),AO$2),"")</f>
        <v/>
      </c>
      <c r="AP102" s="6" t="str" cm="1">
        <f t="array" aca="1" ref="AP102" ca="1">IFERROR(INDEX(INDEX(INDIRECT($A$2&amp;$AI102,TRUE),0),AP$2),"")</f>
        <v/>
      </c>
      <c r="AQ102" s="6" t="str" cm="1">
        <f t="array" aca="1" ref="AQ102" ca="1">IFERROR(INDEX(INDEX(INDIRECT($A$2&amp;$AI102,TRUE),0),AQ$2),"")</f>
        <v/>
      </c>
      <c r="AR102" s="6" t="str" cm="1">
        <f t="array" aca="1" ref="AR102" ca="1">IFERROR(INDEX(INDEX(INDIRECT($A$2&amp;$AI102,TRUE),0),AR$2),"")</f>
        <v/>
      </c>
      <c r="AS102" s="6" t="str" cm="1">
        <f t="array" aca="1" ref="AS102" ca="1">IFERROR(INDEX(INDEX(INDIRECT($A$2&amp;$AI102,TRUE),0),AS$2),"")</f>
        <v/>
      </c>
      <c r="AT102" s="6" t="str" cm="1">
        <f t="array" aca="1" ref="AT102" ca="1">IFERROR(INDEX(INDEX(INDIRECT($A$2&amp;$AI102,TRUE),0),AT$2),"")</f>
        <v/>
      </c>
      <c r="AU102" s="6"/>
    </row>
    <row r="103" spans="34:47">
      <c r="AH103" s="6">
        <v>6</v>
      </c>
      <c r="AI103" s="6" t="e">
        <f t="shared" si="101"/>
        <v>#N/A</v>
      </c>
      <c r="AJ103" s="6" t="s">
        <v>41</v>
      </c>
      <c r="AK103" s="6" t="str" cm="1">
        <f t="array" aca="1" ref="AK103" ca="1">IFERROR(INDEX(INDEX(INDIRECT($A$2&amp;$AI103,TRUE),0),AK$2),"")</f>
        <v/>
      </c>
      <c r="AL103" s="6" t="str" cm="1">
        <f t="array" aca="1" ref="AL103" ca="1">IFERROR(INDEX(INDEX(INDIRECT($A$2&amp;$AI103,TRUE),0),AL$2),"")</f>
        <v/>
      </c>
      <c r="AM103" s="6" t="str" cm="1">
        <f t="array" aca="1" ref="AM103" ca="1">IFERROR(INDEX(INDEX(INDIRECT($A$2&amp;$AI103,TRUE),0),AM$2),"")</f>
        <v/>
      </c>
      <c r="AN103" s="6" t="str" cm="1">
        <f t="array" aca="1" ref="AN103" ca="1">IFERROR(INDEX(INDEX(INDIRECT($A$2&amp;$AI103,TRUE),0),AN$2),"")</f>
        <v/>
      </c>
      <c r="AO103" s="6" t="str" cm="1">
        <f t="array" aca="1" ref="AO103" ca="1">IFERROR(INDEX(INDEX(INDIRECT($A$2&amp;$AI103,TRUE),0),AO$2),"")</f>
        <v/>
      </c>
      <c r="AP103" s="6" t="str" cm="1">
        <f t="array" aca="1" ref="AP103" ca="1">IFERROR(INDEX(INDEX(INDIRECT($A$2&amp;$AI103,TRUE),0),AP$2),"")</f>
        <v/>
      </c>
      <c r="AQ103" s="6" t="str" cm="1">
        <f t="array" aca="1" ref="AQ103" ca="1">IFERROR(INDEX(INDEX(INDIRECT($A$2&amp;$AI103,TRUE),0),AQ$2),"")</f>
        <v/>
      </c>
      <c r="AR103" s="6" t="str" cm="1">
        <f t="array" aca="1" ref="AR103" ca="1">IFERROR(INDEX(INDEX(INDIRECT($A$2&amp;$AI103,TRUE),0),AR$2),"")</f>
        <v/>
      </c>
      <c r="AS103" s="6" t="str" cm="1">
        <f t="array" aca="1" ref="AS103" ca="1">IFERROR(INDEX(INDEX(INDIRECT($A$2&amp;$AI103,TRUE),0),AS$2),"")</f>
        <v/>
      </c>
      <c r="AT103" s="6" t="str" cm="1">
        <f t="array" aca="1" ref="AT103" ca="1">IFERROR(INDEX(INDEX(INDIRECT($A$2&amp;$AI103,TRUE),0),AT$2),"")</f>
        <v/>
      </c>
      <c r="AU103" s="6"/>
    </row>
    <row r="104" spans="34:47">
      <c r="AI104" t="s">
        <v>63</v>
      </c>
      <c r="AJ104" s="8">
        <f>AJ97-1</f>
        <v>-14</v>
      </c>
      <c r="AK104" s="9" t="e">
        <f>" ("&amp;CHOOSE(WEEKDAY(AJ104,1),"日","月","火","水","木","金","土")&amp;")"</f>
        <v>#NUM!</v>
      </c>
      <c r="AL104" s="10"/>
      <c r="AM104" s="10"/>
      <c r="AN104" s="10"/>
      <c r="AO104" s="10"/>
      <c r="AP104" s="10"/>
      <c r="AQ104" s="10"/>
      <c r="AR104" s="10"/>
      <c r="AS104" s="10"/>
      <c r="AT104" s="10"/>
      <c r="AU104" s="6"/>
    </row>
    <row r="105" spans="34:47">
      <c r="AH105" s="6">
        <v>1</v>
      </c>
      <c r="AI105" s="6" t="e">
        <f>INDEX($T$4:$AE$32,MATCH($AJ$104,$B$4:$B$34,0),MATCH($AJ105,$T$3:$AE$3,0))</f>
        <v>#N/A</v>
      </c>
      <c r="AJ105" s="6" t="s">
        <v>19</v>
      </c>
      <c r="AK105" s="6" t="str" cm="1">
        <f t="array" aca="1" ref="AK105" ca="1">IFERROR(INDEX(INDEX(INDIRECT($A$2&amp;$AI105,TRUE),0),AK$2),"")</f>
        <v/>
      </c>
      <c r="AL105" s="6" t="str" cm="1">
        <f t="array" aca="1" ref="AL105" ca="1">IFERROR(INDEX(INDEX(INDIRECT($A$2&amp;$AI105,TRUE),0),AL$2),"")</f>
        <v/>
      </c>
      <c r="AM105" s="6" t="str" cm="1">
        <f t="array" aca="1" ref="AM105" ca="1">IFERROR(INDEX(INDEX(INDIRECT($A$2&amp;$AI105,TRUE),0),AM$2),"")</f>
        <v/>
      </c>
      <c r="AN105" s="6" t="str" cm="1">
        <f t="array" aca="1" ref="AN105" ca="1">IFERROR(INDEX(INDEX(INDIRECT($A$2&amp;$AI105,TRUE),0),AN$2),"")</f>
        <v/>
      </c>
      <c r="AO105" s="6" t="str" cm="1">
        <f t="array" aca="1" ref="AO105" ca="1">IFERROR(INDEX(INDEX(INDIRECT($A$2&amp;$AI105,TRUE),0),AO$2),"")</f>
        <v/>
      </c>
      <c r="AP105" s="6" t="str" cm="1">
        <f t="array" aca="1" ref="AP105" ca="1">IFERROR(INDEX(INDEX(INDIRECT($A$2&amp;$AI105,TRUE),0),AP$2),"")</f>
        <v/>
      </c>
      <c r="AQ105" s="6" t="str" cm="1">
        <f t="array" aca="1" ref="AQ105" ca="1">IFERROR(INDEX(INDEX(INDIRECT($A$2&amp;$AI105,TRUE),0),AQ$2),"")</f>
        <v/>
      </c>
      <c r="AR105" s="6" t="str" cm="1">
        <f t="array" aca="1" ref="AR105" ca="1">IFERROR(INDEX(INDEX(INDIRECT($A$2&amp;$AI105,TRUE),0),AR$2),"")</f>
        <v/>
      </c>
      <c r="AS105" s="6" t="str" cm="1">
        <f t="array" aca="1" ref="AS105" ca="1">IFERROR(INDEX(INDEX(INDIRECT($A$2&amp;$AI105,TRUE),0),AS$2),"")</f>
        <v/>
      </c>
      <c r="AT105" s="6" t="str" cm="1">
        <f t="array" aca="1" ref="AT105" ca="1">IFERROR(INDEX(INDEX(INDIRECT($A$2&amp;$AI105,TRUE),0),AT$2),"")</f>
        <v/>
      </c>
      <c r="AU105" s="6"/>
    </row>
    <row r="106" spans="34:47">
      <c r="AH106" s="6">
        <v>2</v>
      </c>
      <c r="AI106" s="6" t="e">
        <f t="shared" ref="AI106:AI110" si="102">INDEX($T$4:$AE$32,MATCH($AJ$104,$B$4:$B$34,0),MATCH($AJ106,$T$3:$AE$3,0))</f>
        <v>#N/A</v>
      </c>
      <c r="AJ106" s="6" t="s">
        <v>24</v>
      </c>
      <c r="AK106" s="6" t="str" cm="1">
        <f t="array" aca="1" ref="AK106" ca="1">IFERROR(INDEX(INDEX(INDIRECT($A$2&amp;$AI106,TRUE),0),AK$2),"")</f>
        <v/>
      </c>
      <c r="AL106" s="6" t="str" cm="1">
        <f t="array" aca="1" ref="AL106" ca="1">IFERROR(INDEX(INDEX(INDIRECT($A$2&amp;$AI106,TRUE),0),AL$2),"")</f>
        <v/>
      </c>
      <c r="AM106" s="6" t="str" cm="1">
        <f t="array" aca="1" ref="AM106" ca="1">IFERROR(INDEX(INDEX(INDIRECT($A$2&amp;$AI106,TRUE),0),AM$2),"")</f>
        <v/>
      </c>
      <c r="AN106" s="6" t="str" cm="1">
        <f t="array" aca="1" ref="AN106" ca="1">IFERROR(INDEX(INDEX(INDIRECT($A$2&amp;$AI106,TRUE),0),AN$2),"")</f>
        <v/>
      </c>
      <c r="AO106" s="6" t="str" cm="1">
        <f t="array" aca="1" ref="AO106" ca="1">IFERROR(INDEX(INDEX(INDIRECT($A$2&amp;$AI106,TRUE),0),AO$2),"")</f>
        <v/>
      </c>
      <c r="AP106" s="6" t="str" cm="1">
        <f t="array" aca="1" ref="AP106" ca="1">IFERROR(INDEX(INDEX(INDIRECT($A$2&amp;$AI106,TRUE),0),AP$2),"")</f>
        <v/>
      </c>
      <c r="AQ106" s="6" t="str" cm="1">
        <f t="array" aca="1" ref="AQ106" ca="1">IFERROR(INDEX(INDEX(INDIRECT($A$2&amp;$AI106,TRUE),0),AQ$2),"")</f>
        <v/>
      </c>
      <c r="AR106" s="6" t="str" cm="1">
        <f t="array" aca="1" ref="AR106" ca="1">IFERROR(INDEX(INDEX(INDIRECT($A$2&amp;$AI106,TRUE),0),AR$2),"")</f>
        <v/>
      </c>
      <c r="AS106" s="6" t="str" cm="1">
        <f t="array" aca="1" ref="AS106" ca="1">IFERROR(INDEX(INDEX(INDIRECT($A$2&amp;$AI106,TRUE),0),AS$2),"")</f>
        <v/>
      </c>
      <c r="AT106" s="6" t="str" cm="1">
        <f t="array" aca="1" ref="AT106" ca="1">IFERROR(INDEX(INDEX(INDIRECT($A$2&amp;$AI106,TRUE),0),AT$2),"")</f>
        <v/>
      </c>
      <c r="AU106" s="6"/>
    </row>
    <row r="107" spans="34:47">
      <c r="AH107" s="6">
        <v>3</v>
      </c>
      <c r="AI107" s="6" t="e">
        <f t="shared" si="102"/>
        <v>#N/A</v>
      </c>
      <c r="AJ107" s="6" t="s">
        <v>11</v>
      </c>
      <c r="AK107" s="6" t="str" cm="1">
        <f t="array" aca="1" ref="AK107" ca="1">IFERROR(INDEX(INDEX(INDIRECT($A$2&amp;$AI107,TRUE),0),AK$2),"")</f>
        <v/>
      </c>
      <c r="AL107" s="6" t="str" cm="1">
        <f t="array" aca="1" ref="AL107" ca="1">IFERROR(INDEX(INDEX(INDIRECT($A$2&amp;$AI107,TRUE),0),AL$2),"")</f>
        <v/>
      </c>
      <c r="AM107" s="6" t="str" cm="1">
        <f t="array" aca="1" ref="AM107" ca="1">IFERROR(INDEX(INDEX(INDIRECT($A$2&amp;$AI107,TRUE),0),AM$2),"")</f>
        <v/>
      </c>
      <c r="AN107" s="6" t="str" cm="1">
        <f t="array" aca="1" ref="AN107" ca="1">IFERROR(INDEX(INDEX(INDIRECT($A$2&amp;$AI107,TRUE),0),AN$2),"")</f>
        <v/>
      </c>
      <c r="AO107" s="6" t="str" cm="1">
        <f t="array" aca="1" ref="AO107" ca="1">IFERROR(INDEX(INDEX(INDIRECT($A$2&amp;$AI107,TRUE),0),AO$2),"")</f>
        <v/>
      </c>
      <c r="AP107" s="6" t="str" cm="1">
        <f t="array" aca="1" ref="AP107" ca="1">IFERROR(INDEX(INDEX(INDIRECT($A$2&amp;$AI107,TRUE),0),AP$2),"")</f>
        <v/>
      </c>
      <c r="AQ107" s="6" t="str" cm="1">
        <f t="array" aca="1" ref="AQ107" ca="1">IFERROR(INDEX(INDEX(INDIRECT($A$2&amp;$AI107,TRUE),0),AQ$2),"")</f>
        <v/>
      </c>
      <c r="AR107" s="6" t="str" cm="1">
        <f t="array" aca="1" ref="AR107" ca="1">IFERROR(INDEX(INDEX(INDIRECT($A$2&amp;$AI107,TRUE),0),AR$2),"")</f>
        <v/>
      </c>
      <c r="AS107" s="6" t="str" cm="1">
        <f t="array" aca="1" ref="AS107" ca="1">IFERROR(INDEX(INDEX(INDIRECT($A$2&amp;$AI107,TRUE),0),AS$2),"")</f>
        <v/>
      </c>
      <c r="AT107" s="6" t="str" cm="1">
        <f t="array" aca="1" ref="AT107" ca="1">IFERROR(INDEX(INDEX(INDIRECT($A$2&amp;$AI107,TRUE),0),AT$2),"")</f>
        <v/>
      </c>
      <c r="AU107" s="6"/>
    </row>
    <row r="108" spans="34:47">
      <c r="AH108" s="6">
        <v>4</v>
      </c>
      <c r="AI108" s="6" t="e">
        <f t="shared" si="102"/>
        <v>#N/A</v>
      </c>
      <c r="AJ108" s="6" t="s">
        <v>32</v>
      </c>
      <c r="AK108" s="6" t="str" cm="1">
        <f t="array" aca="1" ref="AK108" ca="1">IFERROR(INDEX(INDEX(INDIRECT($A$2&amp;$AI108,TRUE),0),AK$2),"")</f>
        <v/>
      </c>
      <c r="AL108" s="6" t="str" cm="1">
        <f t="array" aca="1" ref="AL108" ca="1">IFERROR(INDEX(INDEX(INDIRECT($A$2&amp;$AI108,TRUE),0),AL$2),"")</f>
        <v/>
      </c>
      <c r="AM108" s="6" t="str" cm="1">
        <f t="array" aca="1" ref="AM108" ca="1">IFERROR(INDEX(INDEX(INDIRECT($A$2&amp;$AI108,TRUE),0),AM$2),"")</f>
        <v/>
      </c>
      <c r="AN108" s="6" t="str" cm="1">
        <f t="array" aca="1" ref="AN108" ca="1">IFERROR(INDEX(INDEX(INDIRECT($A$2&amp;$AI108,TRUE),0),AN$2),"")</f>
        <v/>
      </c>
      <c r="AO108" s="6" t="str" cm="1">
        <f t="array" aca="1" ref="AO108" ca="1">IFERROR(INDEX(INDEX(INDIRECT($A$2&amp;$AI108,TRUE),0),AO$2),"")</f>
        <v/>
      </c>
      <c r="AP108" s="6" t="str" cm="1">
        <f t="array" aca="1" ref="AP108" ca="1">IFERROR(INDEX(INDEX(INDIRECT($A$2&amp;$AI108,TRUE),0),AP$2),"")</f>
        <v/>
      </c>
      <c r="AQ108" s="6" t="str" cm="1">
        <f t="array" aca="1" ref="AQ108" ca="1">IFERROR(INDEX(INDEX(INDIRECT($A$2&amp;$AI108,TRUE),0),AQ$2),"")</f>
        <v/>
      </c>
      <c r="AR108" s="6" t="str" cm="1">
        <f t="array" aca="1" ref="AR108" ca="1">IFERROR(INDEX(INDEX(INDIRECT($A$2&amp;$AI108,TRUE),0),AR$2),"")</f>
        <v/>
      </c>
      <c r="AS108" s="6" t="str" cm="1">
        <f t="array" aca="1" ref="AS108" ca="1">IFERROR(INDEX(INDEX(INDIRECT($A$2&amp;$AI108,TRUE),0),AS$2),"")</f>
        <v/>
      </c>
      <c r="AT108" s="6" t="str" cm="1">
        <f t="array" aca="1" ref="AT108" ca="1">IFERROR(INDEX(INDEX(INDIRECT($A$2&amp;$AI108,TRUE),0),AT$2),"")</f>
        <v/>
      </c>
      <c r="AU108" s="6"/>
    </row>
    <row r="109" spans="34:47">
      <c r="AH109" s="6">
        <v>5</v>
      </c>
      <c r="AI109" s="6" t="e">
        <f t="shared" si="102"/>
        <v>#N/A</v>
      </c>
      <c r="AJ109" s="6" t="s">
        <v>37</v>
      </c>
      <c r="AK109" s="6" t="str" cm="1">
        <f t="array" aca="1" ref="AK109" ca="1">IFERROR(INDEX(INDEX(INDIRECT($A$2&amp;$AI109,TRUE),0),AK$2),"")</f>
        <v/>
      </c>
      <c r="AL109" s="6" t="str" cm="1">
        <f t="array" aca="1" ref="AL109" ca="1">IFERROR(INDEX(INDEX(INDIRECT($A$2&amp;$AI109,TRUE),0),AL$2),"")</f>
        <v/>
      </c>
      <c r="AM109" s="6" t="str" cm="1">
        <f t="array" aca="1" ref="AM109" ca="1">IFERROR(INDEX(INDEX(INDIRECT($A$2&amp;$AI109,TRUE),0),AM$2),"")</f>
        <v/>
      </c>
      <c r="AN109" s="6" t="str" cm="1">
        <f t="array" aca="1" ref="AN109" ca="1">IFERROR(INDEX(INDEX(INDIRECT($A$2&amp;$AI109,TRUE),0),AN$2),"")</f>
        <v/>
      </c>
      <c r="AO109" s="6" t="str" cm="1">
        <f t="array" aca="1" ref="AO109" ca="1">IFERROR(INDEX(INDEX(INDIRECT($A$2&amp;$AI109,TRUE),0),AO$2),"")</f>
        <v/>
      </c>
      <c r="AP109" s="6" t="str" cm="1">
        <f t="array" aca="1" ref="AP109" ca="1">IFERROR(INDEX(INDEX(INDIRECT($A$2&amp;$AI109,TRUE),0),AP$2),"")</f>
        <v/>
      </c>
      <c r="AQ109" s="6" t="str" cm="1">
        <f t="array" aca="1" ref="AQ109" ca="1">IFERROR(INDEX(INDEX(INDIRECT($A$2&amp;$AI109,TRUE),0),AQ$2),"")</f>
        <v/>
      </c>
      <c r="AR109" s="6" t="str" cm="1">
        <f t="array" aca="1" ref="AR109" ca="1">IFERROR(INDEX(INDEX(INDIRECT($A$2&amp;$AI109,TRUE),0),AR$2),"")</f>
        <v/>
      </c>
      <c r="AS109" s="6" t="str" cm="1">
        <f t="array" aca="1" ref="AS109" ca="1">IFERROR(INDEX(INDEX(INDIRECT($A$2&amp;$AI109,TRUE),0),AS$2),"")</f>
        <v/>
      </c>
      <c r="AT109" s="6" t="str" cm="1">
        <f t="array" aca="1" ref="AT109" ca="1">IFERROR(INDEX(INDEX(INDIRECT($A$2&amp;$AI109,TRUE),0),AT$2),"")</f>
        <v/>
      </c>
      <c r="AU109" s="6"/>
    </row>
    <row r="110" spans="34:47">
      <c r="AH110" s="6">
        <v>6</v>
      </c>
      <c r="AI110" s="6" t="e">
        <f t="shared" si="102"/>
        <v>#N/A</v>
      </c>
      <c r="AJ110" s="6" t="s">
        <v>41</v>
      </c>
      <c r="AK110" s="6" t="str" cm="1">
        <f t="array" aca="1" ref="AK110" ca="1">IFERROR(INDEX(INDEX(INDIRECT($A$2&amp;$AI110,TRUE),0),AK$2),"")</f>
        <v/>
      </c>
      <c r="AL110" s="6" t="str" cm="1">
        <f t="array" aca="1" ref="AL110" ca="1">IFERROR(INDEX(INDEX(INDIRECT($A$2&amp;$AI110,TRUE),0),AL$2),"")</f>
        <v/>
      </c>
      <c r="AM110" s="6" t="str" cm="1">
        <f t="array" aca="1" ref="AM110" ca="1">IFERROR(INDEX(INDEX(INDIRECT($A$2&amp;$AI110,TRUE),0),AM$2),"")</f>
        <v/>
      </c>
      <c r="AN110" s="6" t="str" cm="1">
        <f t="array" aca="1" ref="AN110" ca="1">IFERROR(INDEX(INDEX(INDIRECT($A$2&amp;$AI110,TRUE),0),AN$2),"")</f>
        <v/>
      </c>
      <c r="AO110" s="6" t="str" cm="1">
        <f t="array" aca="1" ref="AO110" ca="1">IFERROR(INDEX(INDEX(INDIRECT($A$2&amp;$AI110,TRUE),0),AO$2),"")</f>
        <v/>
      </c>
      <c r="AP110" s="6" t="str" cm="1">
        <f t="array" aca="1" ref="AP110" ca="1">IFERROR(INDEX(INDEX(INDIRECT($A$2&amp;$AI110,TRUE),0),AP$2),"")</f>
        <v/>
      </c>
      <c r="AQ110" s="6" t="str" cm="1">
        <f t="array" aca="1" ref="AQ110" ca="1">IFERROR(INDEX(INDEX(INDIRECT($A$2&amp;$AI110,TRUE),0),AQ$2),"")</f>
        <v/>
      </c>
      <c r="AR110" s="6" t="str" cm="1">
        <f t="array" aca="1" ref="AR110" ca="1">IFERROR(INDEX(INDEX(INDIRECT($A$2&amp;$AI110,TRUE),0),AR$2),"")</f>
        <v/>
      </c>
      <c r="AS110" s="6" t="str" cm="1">
        <f t="array" aca="1" ref="AS110" ca="1">IFERROR(INDEX(INDEX(INDIRECT($A$2&amp;$AI110,TRUE),0),AS$2),"")</f>
        <v/>
      </c>
      <c r="AT110" s="6" t="str" cm="1">
        <f t="array" aca="1" ref="AT110" ca="1">IFERROR(INDEX(INDEX(INDIRECT($A$2&amp;$AI110,TRUE),0),AT$2),"")</f>
        <v/>
      </c>
      <c r="AU110" s="6"/>
    </row>
    <row r="111" spans="34:47">
      <c r="AI111" t="s">
        <v>63</v>
      </c>
      <c r="AJ111" s="8">
        <f>AJ104-1</f>
        <v>-15</v>
      </c>
      <c r="AK111" s="9" t="e">
        <f>" ("&amp;CHOOSE(WEEKDAY(AJ111,1),"日","月","火","水","木","金","土")&amp;")"</f>
        <v>#NUM!</v>
      </c>
      <c r="AL111" s="10"/>
      <c r="AM111" s="10"/>
      <c r="AN111" s="10"/>
      <c r="AO111" s="10"/>
      <c r="AP111" s="10"/>
      <c r="AQ111" s="10"/>
      <c r="AR111" s="10"/>
      <c r="AS111" s="10"/>
      <c r="AT111" s="10"/>
      <c r="AU111" s="6"/>
    </row>
    <row r="112" spans="34:47">
      <c r="AH112" s="6">
        <v>1</v>
      </c>
      <c r="AI112" s="6" t="e">
        <f>INDEX($T$4:$AE$32,MATCH($AJ$111,$B$4:$B$34,0),MATCH($AJ112,$T$3:$AE$3,0))</f>
        <v>#N/A</v>
      </c>
      <c r="AJ112" s="6" t="s">
        <v>19</v>
      </c>
      <c r="AK112" s="6" t="str" cm="1">
        <f t="array" aca="1" ref="AK112" ca="1">IFERROR(INDEX(INDEX(INDIRECT($A$2&amp;$AI112,TRUE),0),AK$2),"")</f>
        <v/>
      </c>
      <c r="AL112" s="6" t="str" cm="1">
        <f t="array" aca="1" ref="AL112" ca="1">IFERROR(INDEX(INDEX(INDIRECT($A$2&amp;$AI112,TRUE),0),AL$2),"")</f>
        <v/>
      </c>
      <c r="AM112" s="6" t="str" cm="1">
        <f t="array" aca="1" ref="AM112" ca="1">IFERROR(INDEX(INDEX(INDIRECT($A$2&amp;$AI112,TRUE),0),AM$2),"")</f>
        <v/>
      </c>
      <c r="AN112" s="6" t="str" cm="1">
        <f t="array" aca="1" ref="AN112" ca="1">IFERROR(INDEX(INDEX(INDIRECT($A$2&amp;$AI112,TRUE),0),AN$2),"")</f>
        <v/>
      </c>
      <c r="AO112" s="6" t="str" cm="1">
        <f t="array" aca="1" ref="AO112" ca="1">IFERROR(INDEX(INDEX(INDIRECT($A$2&amp;$AI112,TRUE),0),AO$2),"")</f>
        <v/>
      </c>
      <c r="AP112" s="6" t="str" cm="1">
        <f t="array" aca="1" ref="AP112" ca="1">IFERROR(INDEX(INDEX(INDIRECT($A$2&amp;$AI112,TRUE),0),AP$2),"")</f>
        <v/>
      </c>
      <c r="AQ112" s="6" t="str" cm="1">
        <f t="array" aca="1" ref="AQ112" ca="1">IFERROR(INDEX(INDEX(INDIRECT($A$2&amp;$AI112,TRUE),0),AQ$2),"")</f>
        <v/>
      </c>
      <c r="AR112" s="6" t="str" cm="1">
        <f t="array" aca="1" ref="AR112" ca="1">IFERROR(INDEX(INDEX(INDIRECT($A$2&amp;$AI112,TRUE),0),AR$2),"")</f>
        <v/>
      </c>
      <c r="AS112" s="6" t="str" cm="1">
        <f t="array" aca="1" ref="AS112" ca="1">IFERROR(INDEX(INDEX(INDIRECT($A$2&amp;$AI112,TRUE),0),AS$2),"")</f>
        <v/>
      </c>
      <c r="AT112" s="6" t="str" cm="1">
        <f t="array" aca="1" ref="AT112" ca="1">IFERROR(INDEX(INDEX(INDIRECT($A$2&amp;$AI112,TRUE),0),AT$2),"")</f>
        <v/>
      </c>
      <c r="AU112" s="6"/>
    </row>
    <row r="113" spans="34:47">
      <c r="AH113" s="6">
        <v>2</v>
      </c>
      <c r="AI113" s="6" t="e">
        <f t="shared" ref="AI113:AI117" si="103">INDEX($T$4:$AE$32,MATCH($AJ$111,$B$4:$B$34,0),MATCH($AJ113,$T$3:$AE$3,0))</f>
        <v>#N/A</v>
      </c>
      <c r="AJ113" s="6" t="s">
        <v>24</v>
      </c>
      <c r="AK113" s="6" t="str" cm="1">
        <f t="array" aca="1" ref="AK113" ca="1">IFERROR(INDEX(INDEX(INDIRECT($A$2&amp;$AI113,TRUE),0),AK$2),"")</f>
        <v/>
      </c>
      <c r="AL113" s="6" t="str" cm="1">
        <f t="array" aca="1" ref="AL113" ca="1">IFERROR(INDEX(INDEX(INDIRECT($A$2&amp;$AI113,TRUE),0),AL$2),"")</f>
        <v/>
      </c>
      <c r="AM113" s="6" t="str" cm="1">
        <f t="array" aca="1" ref="AM113" ca="1">IFERROR(INDEX(INDEX(INDIRECT($A$2&amp;$AI113,TRUE),0),AM$2),"")</f>
        <v/>
      </c>
      <c r="AN113" s="6" t="str" cm="1">
        <f t="array" aca="1" ref="AN113" ca="1">IFERROR(INDEX(INDEX(INDIRECT($A$2&amp;$AI113,TRUE),0),AN$2),"")</f>
        <v/>
      </c>
      <c r="AO113" s="6" t="str" cm="1">
        <f t="array" aca="1" ref="AO113" ca="1">IFERROR(INDEX(INDEX(INDIRECT($A$2&amp;$AI113,TRUE),0),AO$2),"")</f>
        <v/>
      </c>
      <c r="AP113" s="6" t="str" cm="1">
        <f t="array" aca="1" ref="AP113" ca="1">IFERROR(INDEX(INDEX(INDIRECT($A$2&amp;$AI113,TRUE),0),AP$2),"")</f>
        <v/>
      </c>
      <c r="AQ113" s="6" t="str" cm="1">
        <f t="array" aca="1" ref="AQ113" ca="1">IFERROR(INDEX(INDEX(INDIRECT($A$2&amp;$AI113,TRUE),0),AQ$2),"")</f>
        <v/>
      </c>
      <c r="AR113" s="6" t="str" cm="1">
        <f t="array" aca="1" ref="AR113" ca="1">IFERROR(INDEX(INDEX(INDIRECT($A$2&amp;$AI113,TRUE),0),AR$2),"")</f>
        <v/>
      </c>
      <c r="AS113" s="6" t="str" cm="1">
        <f t="array" aca="1" ref="AS113" ca="1">IFERROR(INDEX(INDEX(INDIRECT($A$2&amp;$AI113,TRUE),0),AS$2),"")</f>
        <v/>
      </c>
      <c r="AT113" s="6" t="str" cm="1">
        <f t="array" aca="1" ref="AT113" ca="1">IFERROR(INDEX(INDEX(INDIRECT($A$2&amp;$AI113,TRUE),0),AT$2),"")</f>
        <v/>
      </c>
      <c r="AU113" s="6"/>
    </row>
    <row r="114" spans="34:47">
      <c r="AH114" s="6">
        <v>3</v>
      </c>
      <c r="AI114" s="6" t="e">
        <f t="shared" si="103"/>
        <v>#N/A</v>
      </c>
      <c r="AJ114" s="6" t="s">
        <v>11</v>
      </c>
      <c r="AK114" s="6" t="str" cm="1">
        <f t="array" aca="1" ref="AK114" ca="1">IFERROR(INDEX(INDEX(INDIRECT($A$2&amp;$AI114,TRUE),0),AK$2),"")</f>
        <v/>
      </c>
      <c r="AL114" s="6" t="str" cm="1">
        <f t="array" aca="1" ref="AL114" ca="1">IFERROR(INDEX(INDEX(INDIRECT($A$2&amp;$AI114,TRUE),0),AL$2),"")</f>
        <v/>
      </c>
      <c r="AM114" s="6" t="str" cm="1">
        <f t="array" aca="1" ref="AM114" ca="1">IFERROR(INDEX(INDEX(INDIRECT($A$2&amp;$AI114,TRUE),0),AM$2),"")</f>
        <v/>
      </c>
      <c r="AN114" s="6" t="str" cm="1">
        <f t="array" aca="1" ref="AN114" ca="1">IFERROR(INDEX(INDEX(INDIRECT($A$2&amp;$AI114,TRUE),0),AN$2),"")</f>
        <v/>
      </c>
      <c r="AO114" s="6" t="str" cm="1">
        <f t="array" aca="1" ref="AO114" ca="1">IFERROR(INDEX(INDEX(INDIRECT($A$2&amp;$AI114,TRUE),0),AO$2),"")</f>
        <v/>
      </c>
      <c r="AP114" s="6" t="str" cm="1">
        <f t="array" aca="1" ref="AP114" ca="1">IFERROR(INDEX(INDEX(INDIRECT($A$2&amp;$AI114,TRUE),0),AP$2),"")</f>
        <v/>
      </c>
      <c r="AQ114" s="6" t="str" cm="1">
        <f t="array" aca="1" ref="AQ114" ca="1">IFERROR(INDEX(INDEX(INDIRECT($A$2&amp;$AI114,TRUE),0),AQ$2),"")</f>
        <v/>
      </c>
      <c r="AR114" s="6" t="str" cm="1">
        <f t="array" aca="1" ref="AR114" ca="1">IFERROR(INDEX(INDEX(INDIRECT($A$2&amp;$AI114,TRUE),0),AR$2),"")</f>
        <v/>
      </c>
      <c r="AS114" s="6" t="str" cm="1">
        <f t="array" aca="1" ref="AS114" ca="1">IFERROR(INDEX(INDEX(INDIRECT($A$2&amp;$AI114,TRUE),0),AS$2),"")</f>
        <v/>
      </c>
      <c r="AT114" s="6" t="str" cm="1">
        <f t="array" aca="1" ref="AT114" ca="1">IFERROR(INDEX(INDEX(INDIRECT($A$2&amp;$AI114,TRUE),0),AT$2),"")</f>
        <v/>
      </c>
      <c r="AU114" s="6"/>
    </row>
    <row r="115" spans="34:47">
      <c r="AH115" s="6">
        <v>4</v>
      </c>
      <c r="AI115" s="6" t="e">
        <f t="shared" si="103"/>
        <v>#N/A</v>
      </c>
      <c r="AJ115" s="6" t="s">
        <v>32</v>
      </c>
      <c r="AK115" s="6" t="str" cm="1">
        <f t="array" aca="1" ref="AK115" ca="1">IFERROR(INDEX(INDEX(INDIRECT($A$2&amp;$AI115,TRUE),0),AK$2),"")</f>
        <v/>
      </c>
      <c r="AL115" s="6" t="str" cm="1">
        <f t="array" aca="1" ref="AL115" ca="1">IFERROR(INDEX(INDEX(INDIRECT($A$2&amp;$AI115,TRUE),0),AL$2),"")</f>
        <v/>
      </c>
      <c r="AM115" s="6" t="str" cm="1">
        <f t="array" aca="1" ref="AM115" ca="1">IFERROR(INDEX(INDEX(INDIRECT($A$2&amp;$AI115,TRUE),0),AM$2),"")</f>
        <v/>
      </c>
      <c r="AN115" s="6" t="str" cm="1">
        <f t="array" aca="1" ref="AN115" ca="1">IFERROR(INDEX(INDEX(INDIRECT($A$2&amp;$AI115,TRUE),0),AN$2),"")</f>
        <v/>
      </c>
      <c r="AO115" s="6" t="str" cm="1">
        <f t="array" aca="1" ref="AO115" ca="1">IFERROR(INDEX(INDEX(INDIRECT($A$2&amp;$AI115,TRUE),0),AO$2),"")</f>
        <v/>
      </c>
      <c r="AP115" s="6" t="str" cm="1">
        <f t="array" aca="1" ref="AP115" ca="1">IFERROR(INDEX(INDEX(INDIRECT($A$2&amp;$AI115,TRUE),0),AP$2),"")</f>
        <v/>
      </c>
      <c r="AQ115" s="6" t="str" cm="1">
        <f t="array" aca="1" ref="AQ115" ca="1">IFERROR(INDEX(INDEX(INDIRECT($A$2&amp;$AI115,TRUE),0),AQ$2),"")</f>
        <v/>
      </c>
      <c r="AR115" s="6" t="str" cm="1">
        <f t="array" aca="1" ref="AR115" ca="1">IFERROR(INDEX(INDEX(INDIRECT($A$2&amp;$AI115,TRUE),0),AR$2),"")</f>
        <v/>
      </c>
      <c r="AS115" s="6" t="str" cm="1">
        <f t="array" aca="1" ref="AS115" ca="1">IFERROR(INDEX(INDEX(INDIRECT($A$2&amp;$AI115,TRUE),0),AS$2),"")</f>
        <v/>
      </c>
      <c r="AT115" s="6" t="str" cm="1">
        <f t="array" aca="1" ref="AT115" ca="1">IFERROR(INDEX(INDEX(INDIRECT($A$2&amp;$AI115,TRUE),0),AT$2),"")</f>
        <v/>
      </c>
      <c r="AU115" s="6"/>
    </row>
    <row r="116" spans="34:47">
      <c r="AH116" s="6">
        <v>5</v>
      </c>
      <c r="AI116" s="6" t="e">
        <f t="shared" si="103"/>
        <v>#N/A</v>
      </c>
      <c r="AJ116" s="6" t="s">
        <v>37</v>
      </c>
      <c r="AK116" s="6" t="str" cm="1">
        <f t="array" aca="1" ref="AK116" ca="1">IFERROR(INDEX(INDEX(INDIRECT($A$2&amp;$AI116,TRUE),0),AK$2),"")</f>
        <v/>
      </c>
      <c r="AL116" s="6" t="str" cm="1">
        <f t="array" aca="1" ref="AL116" ca="1">IFERROR(INDEX(INDEX(INDIRECT($A$2&amp;$AI116,TRUE),0),AL$2),"")</f>
        <v/>
      </c>
      <c r="AM116" s="6" t="str" cm="1">
        <f t="array" aca="1" ref="AM116" ca="1">IFERROR(INDEX(INDEX(INDIRECT($A$2&amp;$AI116,TRUE),0),AM$2),"")</f>
        <v/>
      </c>
      <c r="AN116" s="6" t="str" cm="1">
        <f t="array" aca="1" ref="AN116" ca="1">IFERROR(INDEX(INDEX(INDIRECT($A$2&amp;$AI116,TRUE),0),AN$2),"")</f>
        <v/>
      </c>
      <c r="AO116" s="6" t="str" cm="1">
        <f t="array" aca="1" ref="AO116" ca="1">IFERROR(INDEX(INDEX(INDIRECT($A$2&amp;$AI116,TRUE),0),AO$2),"")</f>
        <v/>
      </c>
      <c r="AP116" s="6" t="str" cm="1">
        <f t="array" aca="1" ref="AP116" ca="1">IFERROR(INDEX(INDEX(INDIRECT($A$2&amp;$AI116,TRUE),0),AP$2),"")</f>
        <v/>
      </c>
      <c r="AQ116" s="6" t="str" cm="1">
        <f t="array" aca="1" ref="AQ116" ca="1">IFERROR(INDEX(INDEX(INDIRECT($A$2&amp;$AI116,TRUE),0),AQ$2),"")</f>
        <v/>
      </c>
      <c r="AR116" s="6" t="str" cm="1">
        <f t="array" aca="1" ref="AR116" ca="1">IFERROR(INDEX(INDEX(INDIRECT($A$2&amp;$AI116,TRUE),0),AR$2),"")</f>
        <v/>
      </c>
      <c r="AS116" s="6" t="str" cm="1">
        <f t="array" aca="1" ref="AS116" ca="1">IFERROR(INDEX(INDEX(INDIRECT($A$2&amp;$AI116,TRUE),0),AS$2),"")</f>
        <v/>
      </c>
      <c r="AT116" s="6" t="str" cm="1">
        <f t="array" aca="1" ref="AT116" ca="1">IFERROR(INDEX(INDEX(INDIRECT($A$2&amp;$AI116,TRUE),0),AT$2),"")</f>
        <v/>
      </c>
      <c r="AU116" s="6"/>
    </row>
    <row r="117" spans="34:47">
      <c r="AH117" s="6">
        <v>6</v>
      </c>
      <c r="AI117" s="6" t="e">
        <f t="shared" si="103"/>
        <v>#N/A</v>
      </c>
      <c r="AJ117" s="6" t="s">
        <v>41</v>
      </c>
      <c r="AK117" s="6" t="str" cm="1">
        <f t="array" aca="1" ref="AK117" ca="1">IFERROR(INDEX(INDEX(INDIRECT($A$2&amp;$AI117,TRUE),0),AK$2),"")</f>
        <v/>
      </c>
      <c r="AL117" s="6" t="str" cm="1">
        <f t="array" aca="1" ref="AL117" ca="1">IFERROR(INDEX(INDEX(INDIRECT($A$2&amp;$AI117,TRUE),0),AL$2),"")</f>
        <v/>
      </c>
      <c r="AM117" s="6" t="str" cm="1">
        <f t="array" aca="1" ref="AM117" ca="1">IFERROR(INDEX(INDEX(INDIRECT($A$2&amp;$AI117,TRUE),0),AM$2),"")</f>
        <v/>
      </c>
      <c r="AN117" s="6" t="str" cm="1">
        <f t="array" aca="1" ref="AN117" ca="1">IFERROR(INDEX(INDEX(INDIRECT($A$2&amp;$AI117,TRUE),0),AN$2),"")</f>
        <v/>
      </c>
      <c r="AO117" s="6" t="str" cm="1">
        <f t="array" aca="1" ref="AO117" ca="1">IFERROR(INDEX(INDEX(INDIRECT($A$2&amp;$AI117,TRUE),0),AO$2),"")</f>
        <v/>
      </c>
      <c r="AP117" s="6" t="str" cm="1">
        <f t="array" aca="1" ref="AP117" ca="1">IFERROR(INDEX(INDEX(INDIRECT($A$2&amp;$AI117,TRUE),0),AP$2),"")</f>
        <v/>
      </c>
      <c r="AQ117" s="6" t="str" cm="1">
        <f t="array" aca="1" ref="AQ117" ca="1">IFERROR(INDEX(INDEX(INDIRECT($A$2&amp;$AI117,TRUE),0),AQ$2),"")</f>
        <v/>
      </c>
      <c r="AR117" s="6" t="str" cm="1">
        <f t="array" aca="1" ref="AR117" ca="1">IFERROR(INDEX(INDEX(INDIRECT($A$2&amp;$AI117,TRUE),0),AR$2),"")</f>
        <v/>
      </c>
      <c r="AS117" s="6" t="str" cm="1">
        <f t="array" aca="1" ref="AS117" ca="1">IFERROR(INDEX(INDEX(INDIRECT($A$2&amp;$AI117,TRUE),0),AS$2),"")</f>
        <v/>
      </c>
      <c r="AT117" s="6" t="str" cm="1">
        <f t="array" aca="1" ref="AT117" ca="1">IFERROR(INDEX(INDEX(INDIRECT($A$2&amp;$AI117,TRUE),0),AT$2),"")</f>
        <v/>
      </c>
      <c r="AU117" s="6"/>
    </row>
    <row r="118" spans="34:47">
      <c r="AI118" t="s">
        <v>63</v>
      </c>
      <c r="AJ118" s="8">
        <f>AJ111-1</f>
        <v>-16</v>
      </c>
      <c r="AK118" s="9" t="e">
        <f>" ("&amp;CHOOSE(WEEKDAY(AJ118,1),"日","月","火","水","木","金","土")&amp;")"</f>
        <v>#NUM!</v>
      </c>
      <c r="AL118" s="10"/>
      <c r="AM118" s="10"/>
      <c r="AN118" s="10"/>
      <c r="AO118" s="10"/>
      <c r="AP118" s="10"/>
      <c r="AQ118" s="10"/>
      <c r="AR118" s="10"/>
      <c r="AS118" s="10"/>
      <c r="AT118" s="10"/>
      <c r="AU118" s="6"/>
    </row>
    <row r="119" spans="34:47">
      <c r="AH119" s="6">
        <v>1</v>
      </c>
      <c r="AI119" s="6" t="e">
        <f>INDEX($T$4:$AE$32,MATCH($AJ$118,$B$4:$B$34,0),MATCH($AJ119,$T$3:$AE$3,0))</f>
        <v>#N/A</v>
      </c>
      <c r="AJ119" s="6" t="s">
        <v>19</v>
      </c>
      <c r="AK119" s="6" t="str" cm="1">
        <f t="array" aca="1" ref="AK119" ca="1">IFERROR(INDEX(INDEX(INDIRECT($A$2&amp;$AI119,TRUE),0),AK$2),"")</f>
        <v/>
      </c>
      <c r="AL119" s="6" t="str" cm="1">
        <f t="array" aca="1" ref="AL119" ca="1">IFERROR(INDEX(INDEX(INDIRECT($A$2&amp;$AI119,TRUE),0),AL$2),"")</f>
        <v/>
      </c>
      <c r="AM119" s="6" t="str" cm="1">
        <f t="array" aca="1" ref="AM119" ca="1">IFERROR(INDEX(INDEX(INDIRECT($A$2&amp;$AI119,TRUE),0),AM$2),"")</f>
        <v/>
      </c>
      <c r="AN119" s="6" t="str" cm="1">
        <f t="array" aca="1" ref="AN119" ca="1">IFERROR(INDEX(INDEX(INDIRECT($A$2&amp;$AI119,TRUE),0),AN$2),"")</f>
        <v/>
      </c>
      <c r="AO119" s="6" t="str" cm="1">
        <f t="array" aca="1" ref="AO119" ca="1">IFERROR(INDEX(INDEX(INDIRECT($A$2&amp;$AI119,TRUE),0),AO$2),"")</f>
        <v/>
      </c>
      <c r="AP119" s="6" t="str" cm="1">
        <f t="array" aca="1" ref="AP119" ca="1">IFERROR(INDEX(INDEX(INDIRECT($A$2&amp;$AI119,TRUE),0),AP$2),"")</f>
        <v/>
      </c>
      <c r="AQ119" s="6" t="str" cm="1">
        <f t="array" aca="1" ref="AQ119" ca="1">IFERROR(INDEX(INDEX(INDIRECT($A$2&amp;$AI119,TRUE),0),AQ$2),"")</f>
        <v/>
      </c>
      <c r="AR119" s="6" t="str" cm="1">
        <f t="array" aca="1" ref="AR119" ca="1">IFERROR(INDEX(INDEX(INDIRECT($A$2&amp;$AI119,TRUE),0),AR$2),"")</f>
        <v/>
      </c>
      <c r="AS119" s="6" t="str" cm="1">
        <f t="array" aca="1" ref="AS119" ca="1">IFERROR(INDEX(INDEX(INDIRECT($A$2&amp;$AI119,TRUE),0),AS$2),"")</f>
        <v/>
      </c>
      <c r="AT119" s="6" t="str" cm="1">
        <f t="array" aca="1" ref="AT119" ca="1">IFERROR(INDEX(INDEX(INDIRECT($A$2&amp;$AI119,TRUE),0),AT$2),"")</f>
        <v/>
      </c>
      <c r="AU119" s="6"/>
    </row>
    <row r="120" spans="34:47">
      <c r="AH120" s="6">
        <v>2</v>
      </c>
      <c r="AI120" s="6" t="e">
        <f t="shared" ref="AI120:AI124" si="104">INDEX($T$4:$AE$32,MATCH($AJ$118,$B$4:$B$34,0),MATCH($AJ120,$T$3:$AE$3,0))</f>
        <v>#N/A</v>
      </c>
      <c r="AJ120" s="6" t="s">
        <v>24</v>
      </c>
      <c r="AK120" s="6" t="str" cm="1">
        <f t="array" aca="1" ref="AK120" ca="1">IFERROR(INDEX(INDEX(INDIRECT($A$2&amp;$AI120,TRUE),0),AK$2),"")</f>
        <v/>
      </c>
      <c r="AL120" s="6" t="str" cm="1">
        <f t="array" aca="1" ref="AL120" ca="1">IFERROR(INDEX(INDEX(INDIRECT($A$2&amp;$AI120,TRUE),0),AL$2),"")</f>
        <v/>
      </c>
      <c r="AM120" s="6" t="str" cm="1">
        <f t="array" aca="1" ref="AM120" ca="1">IFERROR(INDEX(INDEX(INDIRECT($A$2&amp;$AI120,TRUE),0),AM$2),"")</f>
        <v/>
      </c>
      <c r="AN120" s="6" t="str" cm="1">
        <f t="array" aca="1" ref="AN120" ca="1">IFERROR(INDEX(INDEX(INDIRECT($A$2&amp;$AI120,TRUE),0),AN$2),"")</f>
        <v/>
      </c>
      <c r="AO120" s="6" t="str" cm="1">
        <f t="array" aca="1" ref="AO120" ca="1">IFERROR(INDEX(INDEX(INDIRECT($A$2&amp;$AI120,TRUE),0),AO$2),"")</f>
        <v/>
      </c>
      <c r="AP120" s="6" t="str" cm="1">
        <f t="array" aca="1" ref="AP120" ca="1">IFERROR(INDEX(INDEX(INDIRECT($A$2&amp;$AI120,TRUE),0),AP$2),"")</f>
        <v/>
      </c>
      <c r="AQ120" s="6" t="str" cm="1">
        <f t="array" aca="1" ref="AQ120" ca="1">IFERROR(INDEX(INDEX(INDIRECT($A$2&amp;$AI120,TRUE),0),AQ$2),"")</f>
        <v/>
      </c>
      <c r="AR120" s="6" t="str" cm="1">
        <f t="array" aca="1" ref="AR120" ca="1">IFERROR(INDEX(INDEX(INDIRECT($A$2&amp;$AI120,TRUE),0),AR$2),"")</f>
        <v/>
      </c>
      <c r="AS120" s="6" t="str" cm="1">
        <f t="array" aca="1" ref="AS120" ca="1">IFERROR(INDEX(INDEX(INDIRECT($A$2&amp;$AI120,TRUE),0),AS$2),"")</f>
        <v/>
      </c>
      <c r="AT120" s="6" t="str" cm="1">
        <f t="array" aca="1" ref="AT120" ca="1">IFERROR(INDEX(INDEX(INDIRECT($A$2&amp;$AI120,TRUE),0),AT$2),"")</f>
        <v/>
      </c>
      <c r="AU120" s="6"/>
    </row>
    <row r="121" spans="34:47">
      <c r="AH121" s="6">
        <v>3</v>
      </c>
      <c r="AI121" s="6" t="e">
        <f t="shared" si="104"/>
        <v>#N/A</v>
      </c>
      <c r="AJ121" s="6" t="s">
        <v>11</v>
      </c>
      <c r="AK121" s="6" t="str" cm="1">
        <f t="array" aca="1" ref="AK121" ca="1">IFERROR(INDEX(INDEX(INDIRECT($A$2&amp;$AI121,TRUE),0),AK$2),"")</f>
        <v/>
      </c>
      <c r="AL121" s="6" t="str" cm="1">
        <f t="array" aca="1" ref="AL121" ca="1">IFERROR(INDEX(INDEX(INDIRECT($A$2&amp;$AI121,TRUE),0),AL$2),"")</f>
        <v/>
      </c>
      <c r="AM121" s="6" t="str" cm="1">
        <f t="array" aca="1" ref="AM121" ca="1">IFERROR(INDEX(INDEX(INDIRECT($A$2&amp;$AI121,TRUE),0),AM$2),"")</f>
        <v/>
      </c>
      <c r="AN121" s="6" t="str" cm="1">
        <f t="array" aca="1" ref="AN121" ca="1">IFERROR(INDEX(INDEX(INDIRECT($A$2&amp;$AI121,TRUE),0),AN$2),"")</f>
        <v/>
      </c>
      <c r="AO121" s="6" t="str" cm="1">
        <f t="array" aca="1" ref="AO121" ca="1">IFERROR(INDEX(INDEX(INDIRECT($A$2&amp;$AI121,TRUE),0),AO$2),"")</f>
        <v/>
      </c>
      <c r="AP121" s="6" t="str" cm="1">
        <f t="array" aca="1" ref="AP121" ca="1">IFERROR(INDEX(INDEX(INDIRECT($A$2&amp;$AI121,TRUE),0),AP$2),"")</f>
        <v/>
      </c>
      <c r="AQ121" s="6" t="str" cm="1">
        <f t="array" aca="1" ref="AQ121" ca="1">IFERROR(INDEX(INDEX(INDIRECT($A$2&amp;$AI121,TRUE),0),AQ$2),"")</f>
        <v/>
      </c>
      <c r="AR121" s="6" t="str" cm="1">
        <f t="array" aca="1" ref="AR121" ca="1">IFERROR(INDEX(INDEX(INDIRECT($A$2&amp;$AI121,TRUE),0),AR$2),"")</f>
        <v/>
      </c>
      <c r="AS121" s="6" t="str" cm="1">
        <f t="array" aca="1" ref="AS121" ca="1">IFERROR(INDEX(INDEX(INDIRECT($A$2&amp;$AI121,TRUE),0),AS$2),"")</f>
        <v/>
      </c>
      <c r="AT121" s="6" t="str" cm="1">
        <f t="array" aca="1" ref="AT121" ca="1">IFERROR(INDEX(INDEX(INDIRECT($A$2&amp;$AI121,TRUE),0),AT$2),"")</f>
        <v/>
      </c>
      <c r="AU121" s="6"/>
    </row>
    <row r="122" spans="34:47">
      <c r="AH122" s="6">
        <v>4</v>
      </c>
      <c r="AI122" s="6" t="e">
        <f t="shared" si="104"/>
        <v>#N/A</v>
      </c>
      <c r="AJ122" s="6" t="s">
        <v>32</v>
      </c>
      <c r="AK122" s="6" t="str" cm="1">
        <f t="array" aca="1" ref="AK122" ca="1">IFERROR(INDEX(INDEX(INDIRECT($A$2&amp;$AI122,TRUE),0),AK$2),"")</f>
        <v/>
      </c>
      <c r="AL122" s="6" t="str" cm="1">
        <f t="array" aca="1" ref="AL122" ca="1">IFERROR(INDEX(INDEX(INDIRECT($A$2&amp;$AI122,TRUE),0),AL$2),"")</f>
        <v/>
      </c>
      <c r="AM122" s="6" t="str" cm="1">
        <f t="array" aca="1" ref="AM122" ca="1">IFERROR(INDEX(INDEX(INDIRECT($A$2&amp;$AI122,TRUE),0),AM$2),"")</f>
        <v/>
      </c>
      <c r="AN122" s="6" t="str" cm="1">
        <f t="array" aca="1" ref="AN122" ca="1">IFERROR(INDEX(INDEX(INDIRECT($A$2&amp;$AI122,TRUE),0),AN$2),"")</f>
        <v/>
      </c>
      <c r="AO122" s="6" t="str" cm="1">
        <f t="array" aca="1" ref="AO122" ca="1">IFERROR(INDEX(INDEX(INDIRECT($A$2&amp;$AI122,TRUE),0),AO$2),"")</f>
        <v/>
      </c>
      <c r="AP122" s="6" t="str" cm="1">
        <f t="array" aca="1" ref="AP122" ca="1">IFERROR(INDEX(INDEX(INDIRECT($A$2&amp;$AI122,TRUE),0),AP$2),"")</f>
        <v/>
      </c>
      <c r="AQ122" s="6" t="str" cm="1">
        <f t="array" aca="1" ref="AQ122" ca="1">IFERROR(INDEX(INDEX(INDIRECT($A$2&amp;$AI122,TRUE),0),AQ$2),"")</f>
        <v/>
      </c>
      <c r="AR122" s="6" t="str" cm="1">
        <f t="array" aca="1" ref="AR122" ca="1">IFERROR(INDEX(INDEX(INDIRECT($A$2&amp;$AI122,TRUE),0),AR$2),"")</f>
        <v/>
      </c>
      <c r="AS122" s="6" t="str" cm="1">
        <f t="array" aca="1" ref="AS122" ca="1">IFERROR(INDEX(INDEX(INDIRECT($A$2&amp;$AI122,TRUE),0),AS$2),"")</f>
        <v/>
      </c>
      <c r="AT122" s="6" t="str" cm="1">
        <f t="array" aca="1" ref="AT122" ca="1">IFERROR(INDEX(INDEX(INDIRECT($A$2&amp;$AI122,TRUE),0),AT$2),"")</f>
        <v/>
      </c>
      <c r="AU122" s="6"/>
    </row>
    <row r="123" spans="34:47">
      <c r="AH123" s="6">
        <v>5</v>
      </c>
      <c r="AI123" s="6" t="e">
        <f t="shared" si="104"/>
        <v>#N/A</v>
      </c>
      <c r="AJ123" s="6" t="s">
        <v>37</v>
      </c>
      <c r="AK123" s="6" t="str" cm="1">
        <f t="array" aca="1" ref="AK123" ca="1">IFERROR(INDEX(INDEX(INDIRECT($A$2&amp;$AI123,TRUE),0),AK$2),"")</f>
        <v/>
      </c>
      <c r="AL123" s="6" t="str" cm="1">
        <f t="array" aca="1" ref="AL123" ca="1">IFERROR(INDEX(INDEX(INDIRECT($A$2&amp;$AI123,TRUE),0),AL$2),"")</f>
        <v/>
      </c>
      <c r="AM123" s="6" t="str" cm="1">
        <f t="array" aca="1" ref="AM123" ca="1">IFERROR(INDEX(INDEX(INDIRECT($A$2&amp;$AI123,TRUE),0),AM$2),"")</f>
        <v/>
      </c>
      <c r="AN123" s="6" t="str" cm="1">
        <f t="array" aca="1" ref="AN123" ca="1">IFERROR(INDEX(INDEX(INDIRECT($A$2&amp;$AI123,TRUE),0),AN$2),"")</f>
        <v/>
      </c>
      <c r="AO123" s="6" t="str" cm="1">
        <f t="array" aca="1" ref="AO123" ca="1">IFERROR(INDEX(INDEX(INDIRECT($A$2&amp;$AI123,TRUE),0),AO$2),"")</f>
        <v/>
      </c>
      <c r="AP123" s="6" t="str" cm="1">
        <f t="array" aca="1" ref="AP123" ca="1">IFERROR(INDEX(INDEX(INDIRECT($A$2&amp;$AI123,TRUE),0),AP$2),"")</f>
        <v/>
      </c>
      <c r="AQ123" s="6" t="str" cm="1">
        <f t="array" aca="1" ref="AQ123" ca="1">IFERROR(INDEX(INDEX(INDIRECT($A$2&amp;$AI123,TRUE),0),AQ$2),"")</f>
        <v/>
      </c>
      <c r="AR123" s="6" t="str" cm="1">
        <f t="array" aca="1" ref="AR123" ca="1">IFERROR(INDEX(INDEX(INDIRECT($A$2&amp;$AI123,TRUE),0),AR$2),"")</f>
        <v/>
      </c>
      <c r="AS123" s="6" t="str" cm="1">
        <f t="array" aca="1" ref="AS123" ca="1">IFERROR(INDEX(INDEX(INDIRECT($A$2&amp;$AI123,TRUE),0),AS$2),"")</f>
        <v/>
      </c>
      <c r="AT123" s="6" t="str" cm="1">
        <f t="array" aca="1" ref="AT123" ca="1">IFERROR(INDEX(INDEX(INDIRECT($A$2&amp;$AI123,TRUE),0),AT$2),"")</f>
        <v/>
      </c>
      <c r="AU123" s="6"/>
    </row>
    <row r="124" spans="34:47">
      <c r="AH124" s="6">
        <v>6</v>
      </c>
      <c r="AI124" s="6" t="e">
        <f t="shared" si="104"/>
        <v>#N/A</v>
      </c>
      <c r="AJ124" s="6" t="s">
        <v>41</v>
      </c>
      <c r="AK124" s="6" t="str" cm="1">
        <f t="array" aca="1" ref="AK124" ca="1">IFERROR(INDEX(INDEX(INDIRECT($A$2&amp;$AI124,TRUE),0),AK$2),"")</f>
        <v/>
      </c>
      <c r="AL124" s="6" t="str" cm="1">
        <f t="array" aca="1" ref="AL124" ca="1">IFERROR(INDEX(INDEX(INDIRECT($A$2&amp;$AI124,TRUE),0),AL$2),"")</f>
        <v/>
      </c>
      <c r="AM124" s="6" t="str" cm="1">
        <f t="array" aca="1" ref="AM124" ca="1">IFERROR(INDEX(INDEX(INDIRECT($A$2&amp;$AI124,TRUE),0),AM$2),"")</f>
        <v/>
      </c>
      <c r="AN124" s="6" t="str" cm="1">
        <f t="array" aca="1" ref="AN124" ca="1">IFERROR(INDEX(INDEX(INDIRECT($A$2&amp;$AI124,TRUE),0),AN$2),"")</f>
        <v/>
      </c>
      <c r="AO124" s="6" t="str" cm="1">
        <f t="array" aca="1" ref="AO124" ca="1">IFERROR(INDEX(INDEX(INDIRECT($A$2&amp;$AI124,TRUE),0),AO$2),"")</f>
        <v/>
      </c>
      <c r="AP124" s="6" t="str" cm="1">
        <f t="array" aca="1" ref="AP124" ca="1">IFERROR(INDEX(INDEX(INDIRECT($A$2&amp;$AI124,TRUE),0),AP$2),"")</f>
        <v/>
      </c>
      <c r="AQ124" s="6" t="str" cm="1">
        <f t="array" aca="1" ref="AQ124" ca="1">IFERROR(INDEX(INDEX(INDIRECT($A$2&amp;$AI124,TRUE),0),AQ$2),"")</f>
        <v/>
      </c>
      <c r="AR124" s="6" t="str" cm="1">
        <f t="array" aca="1" ref="AR124" ca="1">IFERROR(INDEX(INDEX(INDIRECT($A$2&amp;$AI124,TRUE),0),AR$2),"")</f>
        <v/>
      </c>
      <c r="AS124" s="6" t="str" cm="1">
        <f t="array" aca="1" ref="AS124" ca="1">IFERROR(INDEX(INDEX(INDIRECT($A$2&amp;$AI124,TRUE),0),AS$2),"")</f>
        <v/>
      </c>
      <c r="AT124" s="6" t="str" cm="1">
        <f t="array" aca="1" ref="AT124" ca="1">IFERROR(INDEX(INDEX(INDIRECT($A$2&amp;$AI124,TRUE),0),AT$2),"")</f>
        <v/>
      </c>
      <c r="AU124" s="6"/>
    </row>
    <row r="125" spans="34:47">
      <c r="AI125" t="s">
        <v>63</v>
      </c>
      <c r="AJ125" s="8">
        <f>AJ118-1</f>
        <v>-17</v>
      </c>
      <c r="AK125" s="9" t="e">
        <f>" ("&amp;CHOOSE(WEEKDAY(AJ125,1),"日","月","火","水","木","金","土")&amp;")"</f>
        <v>#NUM!</v>
      </c>
      <c r="AL125" s="10"/>
      <c r="AM125" s="10"/>
      <c r="AN125" s="10"/>
      <c r="AO125" s="10"/>
      <c r="AP125" s="10"/>
      <c r="AQ125" s="10"/>
      <c r="AR125" s="10"/>
      <c r="AS125" s="10"/>
      <c r="AT125" s="10"/>
      <c r="AU125" s="6"/>
    </row>
    <row r="126" spans="34:47">
      <c r="AH126" s="6">
        <v>1</v>
      </c>
      <c r="AI126" s="6" t="e">
        <f>INDEX($T$4:$AE$32,MATCH($AJ$125,$B$4:$B$34,0),MATCH($AJ126,$T$3:$AE$3,0))</f>
        <v>#N/A</v>
      </c>
      <c r="AJ126" s="6" t="s">
        <v>19</v>
      </c>
      <c r="AK126" s="6" t="str" cm="1">
        <f t="array" aca="1" ref="AK126" ca="1">IFERROR(INDEX(INDEX(INDIRECT($A$2&amp;$AI126,TRUE),0),AK$2),"")</f>
        <v/>
      </c>
      <c r="AL126" s="6" t="str" cm="1">
        <f t="array" aca="1" ref="AL126" ca="1">IFERROR(INDEX(INDEX(INDIRECT($A$2&amp;$AI126,TRUE),0),AL$2),"")</f>
        <v/>
      </c>
      <c r="AM126" s="6" t="str" cm="1">
        <f t="array" aca="1" ref="AM126" ca="1">IFERROR(INDEX(INDEX(INDIRECT($A$2&amp;$AI126,TRUE),0),AM$2),"")</f>
        <v/>
      </c>
      <c r="AN126" s="6" t="str" cm="1">
        <f t="array" aca="1" ref="AN126" ca="1">IFERROR(INDEX(INDEX(INDIRECT($A$2&amp;$AI126,TRUE),0),AN$2),"")</f>
        <v/>
      </c>
      <c r="AO126" s="6" t="str" cm="1">
        <f t="array" aca="1" ref="AO126" ca="1">IFERROR(INDEX(INDEX(INDIRECT($A$2&amp;$AI126,TRUE),0),AO$2),"")</f>
        <v/>
      </c>
      <c r="AP126" s="6" t="str" cm="1">
        <f t="array" aca="1" ref="AP126" ca="1">IFERROR(INDEX(INDEX(INDIRECT($A$2&amp;$AI126,TRUE),0),AP$2),"")</f>
        <v/>
      </c>
      <c r="AQ126" s="6" t="str" cm="1">
        <f t="array" aca="1" ref="AQ126" ca="1">IFERROR(INDEX(INDEX(INDIRECT($A$2&amp;$AI126,TRUE),0),AQ$2),"")</f>
        <v/>
      </c>
      <c r="AR126" s="6" t="str" cm="1">
        <f t="array" aca="1" ref="AR126" ca="1">IFERROR(INDEX(INDEX(INDIRECT($A$2&amp;$AI126,TRUE),0),AR$2),"")</f>
        <v/>
      </c>
      <c r="AS126" s="6" t="str" cm="1">
        <f t="array" aca="1" ref="AS126" ca="1">IFERROR(INDEX(INDEX(INDIRECT($A$2&amp;$AI126,TRUE),0),AS$2),"")</f>
        <v/>
      </c>
      <c r="AT126" s="6" t="str" cm="1">
        <f t="array" aca="1" ref="AT126" ca="1">IFERROR(INDEX(INDEX(INDIRECT($A$2&amp;$AI126,TRUE),0),AT$2),"")</f>
        <v/>
      </c>
      <c r="AU126" s="6"/>
    </row>
    <row r="127" spans="34:47">
      <c r="AH127" s="6">
        <v>2</v>
      </c>
      <c r="AI127" s="6" t="e">
        <f t="shared" ref="AI127:AI131" si="105">INDEX($T$4:$AE$32,MATCH($AJ$125,$B$4:$B$34,0),MATCH($AJ127,$T$3:$AE$3,0))</f>
        <v>#N/A</v>
      </c>
      <c r="AJ127" s="6" t="s">
        <v>24</v>
      </c>
      <c r="AK127" s="6" t="str" cm="1">
        <f t="array" aca="1" ref="AK127" ca="1">IFERROR(INDEX(INDEX(INDIRECT($A$2&amp;$AI127,TRUE),0),AK$2),"")</f>
        <v/>
      </c>
      <c r="AL127" s="6" t="str" cm="1">
        <f t="array" aca="1" ref="AL127" ca="1">IFERROR(INDEX(INDEX(INDIRECT($A$2&amp;$AI127,TRUE),0),AL$2),"")</f>
        <v/>
      </c>
      <c r="AM127" s="6" t="str" cm="1">
        <f t="array" aca="1" ref="AM127" ca="1">IFERROR(INDEX(INDEX(INDIRECT($A$2&amp;$AI127,TRUE),0),AM$2),"")</f>
        <v/>
      </c>
      <c r="AN127" s="6" t="str" cm="1">
        <f t="array" aca="1" ref="AN127" ca="1">IFERROR(INDEX(INDEX(INDIRECT($A$2&amp;$AI127,TRUE),0),AN$2),"")</f>
        <v/>
      </c>
      <c r="AO127" s="6" t="str" cm="1">
        <f t="array" aca="1" ref="AO127" ca="1">IFERROR(INDEX(INDEX(INDIRECT($A$2&amp;$AI127,TRUE),0),AO$2),"")</f>
        <v/>
      </c>
      <c r="AP127" s="6" t="str" cm="1">
        <f t="array" aca="1" ref="AP127" ca="1">IFERROR(INDEX(INDEX(INDIRECT($A$2&amp;$AI127,TRUE),0),AP$2),"")</f>
        <v/>
      </c>
      <c r="AQ127" s="6" t="str" cm="1">
        <f t="array" aca="1" ref="AQ127" ca="1">IFERROR(INDEX(INDEX(INDIRECT($A$2&amp;$AI127,TRUE),0),AQ$2),"")</f>
        <v/>
      </c>
      <c r="AR127" s="6" t="str" cm="1">
        <f t="array" aca="1" ref="AR127" ca="1">IFERROR(INDEX(INDEX(INDIRECT($A$2&amp;$AI127,TRUE),0),AR$2),"")</f>
        <v/>
      </c>
      <c r="AS127" s="6" t="str" cm="1">
        <f t="array" aca="1" ref="AS127" ca="1">IFERROR(INDEX(INDEX(INDIRECT($A$2&amp;$AI127,TRUE),0),AS$2),"")</f>
        <v/>
      </c>
      <c r="AT127" s="6" t="str" cm="1">
        <f t="array" aca="1" ref="AT127" ca="1">IFERROR(INDEX(INDEX(INDIRECT($A$2&amp;$AI127,TRUE),0),AT$2),"")</f>
        <v/>
      </c>
      <c r="AU127" s="6"/>
    </row>
    <row r="128" spans="34:47">
      <c r="AH128" s="6">
        <v>3</v>
      </c>
      <c r="AI128" s="6" t="e">
        <f t="shared" si="105"/>
        <v>#N/A</v>
      </c>
      <c r="AJ128" s="6" t="s">
        <v>11</v>
      </c>
      <c r="AK128" s="6" t="str" cm="1">
        <f t="array" aca="1" ref="AK128" ca="1">IFERROR(INDEX(INDEX(INDIRECT($A$2&amp;$AI128,TRUE),0),AK$2),"")</f>
        <v/>
      </c>
      <c r="AL128" s="6" t="str" cm="1">
        <f t="array" aca="1" ref="AL128" ca="1">IFERROR(INDEX(INDEX(INDIRECT($A$2&amp;$AI128,TRUE),0),AL$2),"")</f>
        <v/>
      </c>
      <c r="AM128" s="6" t="str" cm="1">
        <f t="array" aca="1" ref="AM128" ca="1">IFERROR(INDEX(INDEX(INDIRECT($A$2&amp;$AI128,TRUE),0),AM$2),"")</f>
        <v/>
      </c>
      <c r="AN128" s="6" t="str" cm="1">
        <f t="array" aca="1" ref="AN128" ca="1">IFERROR(INDEX(INDEX(INDIRECT($A$2&amp;$AI128,TRUE),0),AN$2),"")</f>
        <v/>
      </c>
      <c r="AO128" s="6" t="str" cm="1">
        <f t="array" aca="1" ref="AO128" ca="1">IFERROR(INDEX(INDEX(INDIRECT($A$2&amp;$AI128,TRUE),0),AO$2),"")</f>
        <v/>
      </c>
      <c r="AP128" s="6" t="str" cm="1">
        <f t="array" aca="1" ref="AP128" ca="1">IFERROR(INDEX(INDEX(INDIRECT($A$2&amp;$AI128,TRUE),0),AP$2),"")</f>
        <v/>
      </c>
      <c r="AQ128" s="6" t="str" cm="1">
        <f t="array" aca="1" ref="AQ128" ca="1">IFERROR(INDEX(INDEX(INDIRECT($A$2&amp;$AI128,TRUE),0),AQ$2),"")</f>
        <v/>
      </c>
      <c r="AR128" s="6" t="str" cm="1">
        <f t="array" aca="1" ref="AR128" ca="1">IFERROR(INDEX(INDEX(INDIRECT($A$2&amp;$AI128,TRUE),0),AR$2),"")</f>
        <v/>
      </c>
      <c r="AS128" s="6" t="str" cm="1">
        <f t="array" aca="1" ref="AS128" ca="1">IFERROR(INDEX(INDEX(INDIRECT($A$2&amp;$AI128,TRUE),0),AS$2),"")</f>
        <v/>
      </c>
      <c r="AT128" s="6" t="str" cm="1">
        <f t="array" aca="1" ref="AT128" ca="1">IFERROR(INDEX(INDEX(INDIRECT($A$2&amp;$AI128,TRUE),0),AT$2),"")</f>
        <v/>
      </c>
      <c r="AU128" s="6"/>
    </row>
    <row r="129" spans="34:47">
      <c r="AH129" s="6">
        <v>4</v>
      </c>
      <c r="AI129" s="6" t="e">
        <f t="shared" si="105"/>
        <v>#N/A</v>
      </c>
      <c r="AJ129" s="6" t="s">
        <v>32</v>
      </c>
      <c r="AK129" s="6" t="str" cm="1">
        <f t="array" aca="1" ref="AK129" ca="1">IFERROR(INDEX(INDEX(INDIRECT($A$2&amp;$AI129,TRUE),0),AK$2),"")</f>
        <v/>
      </c>
      <c r="AL129" s="6" t="str" cm="1">
        <f t="array" aca="1" ref="AL129" ca="1">IFERROR(INDEX(INDEX(INDIRECT($A$2&amp;$AI129,TRUE),0),AL$2),"")</f>
        <v/>
      </c>
      <c r="AM129" s="6" t="str" cm="1">
        <f t="array" aca="1" ref="AM129" ca="1">IFERROR(INDEX(INDEX(INDIRECT($A$2&amp;$AI129,TRUE),0),AM$2),"")</f>
        <v/>
      </c>
      <c r="AN129" s="6" t="str" cm="1">
        <f t="array" aca="1" ref="AN129" ca="1">IFERROR(INDEX(INDEX(INDIRECT($A$2&amp;$AI129,TRUE),0),AN$2),"")</f>
        <v/>
      </c>
      <c r="AO129" s="6" t="str" cm="1">
        <f t="array" aca="1" ref="AO129" ca="1">IFERROR(INDEX(INDEX(INDIRECT($A$2&amp;$AI129,TRUE),0),AO$2),"")</f>
        <v/>
      </c>
      <c r="AP129" s="6" t="str" cm="1">
        <f t="array" aca="1" ref="AP129" ca="1">IFERROR(INDEX(INDEX(INDIRECT($A$2&amp;$AI129,TRUE),0),AP$2),"")</f>
        <v/>
      </c>
      <c r="AQ129" s="6" t="str" cm="1">
        <f t="array" aca="1" ref="AQ129" ca="1">IFERROR(INDEX(INDEX(INDIRECT($A$2&amp;$AI129,TRUE),0),AQ$2),"")</f>
        <v/>
      </c>
      <c r="AR129" s="6" t="str" cm="1">
        <f t="array" aca="1" ref="AR129" ca="1">IFERROR(INDEX(INDEX(INDIRECT($A$2&amp;$AI129,TRUE),0),AR$2),"")</f>
        <v/>
      </c>
      <c r="AS129" s="6" t="str" cm="1">
        <f t="array" aca="1" ref="AS129" ca="1">IFERROR(INDEX(INDEX(INDIRECT($A$2&amp;$AI129,TRUE),0),AS$2),"")</f>
        <v/>
      </c>
      <c r="AT129" s="6" t="str" cm="1">
        <f t="array" aca="1" ref="AT129" ca="1">IFERROR(INDEX(INDEX(INDIRECT($A$2&amp;$AI129,TRUE),0),AT$2),"")</f>
        <v/>
      </c>
      <c r="AU129" s="6"/>
    </row>
    <row r="130" spans="34:47">
      <c r="AH130" s="6">
        <v>5</v>
      </c>
      <c r="AI130" s="6" t="e">
        <f t="shared" si="105"/>
        <v>#N/A</v>
      </c>
      <c r="AJ130" s="6" t="s">
        <v>37</v>
      </c>
      <c r="AK130" s="6" t="str" cm="1">
        <f t="array" aca="1" ref="AK130" ca="1">IFERROR(INDEX(INDEX(INDIRECT($A$2&amp;$AI130,TRUE),0),AK$2),"")</f>
        <v/>
      </c>
      <c r="AL130" s="6" t="str" cm="1">
        <f t="array" aca="1" ref="AL130" ca="1">IFERROR(INDEX(INDEX(INDIRECT($A$2&amp;$AI130,TRUE),0),AL$2),"")</f>
        <v/>
      </c>
      <c r="AM130" s="6" t="str" cm="1">
        <f t="array" aca="1" ref="AM130" ca="1">IFERROR(INDEX(INDEX(INDIRECT($A$2&amp;$AI130,TRUE),0),AM$2),"")</f>
        <v/>
      </c>
      <c r="AN130" s="6" t="str" cm="1">
        <f t="array" aca="1" ref="AN130" ca="1">IFERROR(INDEX(INDEX(INDIRECT($A$2&amp;$AI130,TRUE),0),AN$2),"")</f>
        <v/>
      </c>
      <c r="AO130" s="6" t="str" cm="1">
        <f t="array" aca="1" ref="AO130" ca="1">IFERROR(INDEX(INDEX(INDIRECT($A$2&amp;$AI130,TRUE),0),AO$2),"")</f>
        <v/>
      </c>
      <c r="AP130" s="6" t="str" cm="1">
        <f t="array" aca="1" ref="AP130" ca="1">IFERROR(INDEX(INDEX(INDIRECT($A$2&amp;$AI130,TRUE),0),AP$2),"")</f>
        <v/>
      </c>
      <c r="AQ130" s="6" t="str" cm="1">
        <f t="array" aca="1" ref="AQ130" ca="1">IFERROR(INDEX(INDEX(INDIRECT($A$2&amp;$AI130,TRUE),0),AQ$2),"")</f>
        <v/>
      </c>
      <c r="AR130" s="6" t="str" cm="1">
        <f t="array" aca="1" ref="AR130" ca="1">IFERROR(INDEX(INDEX(INDIRECT($A$2&amp;$AI130,TRUE),0),AR$2),"")</f>
        <v/>
      </c>
      <c r="AS130" s="6" t="str" cm="1">
        <f t="array" aca="1" ref="AS130" ca="1">IFERROR(INDEX(INDEX(INDIRECT($A$2&amp;$AI130,TRUE),0),AS$2),"")</f>
        <v/>
      </c>
      <c r="AT130" s="6" t="str" cm="1">
        <f t="array" aca="1" ref="AT130" ca="1">IFERROR(INDEX(INDEX(INDIRECT($A$2&amp;$AI130,TRUE),0),AT$2),"")</f>
        <v/>
      </c>
      <c r="AU130" s="6"/>
    </row>
    <row r="131" spans="34:47">
      <c r="AH131" s="6">
        <v>6</v>
      </c>
      <c r="AI131" s="6" t="e">
        <f t="shared" si="105"/>
        <v>#N/A</v>
      </c>
      <c r="AJ131" s="6" t="s">
        <v>41</v>
      </c>
      <c r="AK131" s="6" t="str" cm="1">
        <f t="array" aca="1" ref="AK131" ca="1">IFERROR(INDEX(INDEX(INDIRECT($A$2&amp;$AI131,TRUE),0),AK$2),"")</f>
        <v/>
      </c>
      <c r="AL131" s="6" t="str" cm="1">
        <f t="array" aca="1" ref="AL131" ca="1">IFERROR(INDEX(INDEX(INDIRECT($A$2&amp;$AI131,TRUE),0),AL$2),"")</f>
        <v/>
      </c>
      <c r="AM131" s="6" t="str" cm="1">
        <f t="array" aca="1" ref="AM131" ca="1">IFERROR(INDEX(INDEX(INDIRECT($A$2&amp;$AI131,TRUE),0),AM$2),"")</f>
        <v/>
      </c>
      <c r="AN131" s="6" t="str" cm="1">
        <f t="array" aca="1" ref="AN131" ca="1">IFERROR(INDEX(INDEX(INDIRECT($A$2&amp;$AI131,TRUE),0),AN$2),"")</f>
        <v/>
      </c>
      <c r="AO131" s="6" t="str" cm="1">
        <f t="array" aca="1" ref="AO131" ca="1">IFERROR(INDEX(INDEX(INDIRECT($A$2&amp;$AI131,TRUE),0),AO$2),"")</f>
        <v/>
      </c>
      <c r="AP131" s="6" t="str" cm="1">
        <f t="array" aca="1" ref="AP131" ca="1">IFERROR(INDEX(INDEX(INDIRECT($A$2&amp;$AI131,TRUE),0),AP$2),"")</f>
        <v/>
      </c>
      <c r="AQ131" s="6" t="str" cm="1">
        <f t="array" aca="1" ref="AQ131" ca="1">IFERROR(INDEX(INDEX(INDIRECT($A$2&amp;$AI131,TRUE),0),AQ$2),"")</f>
        <v/>
      </c>
      <c r="AR131" s="6" t="str" cm="1">
        <f t="array" aca="1" ref="AR131" ca="1">IFERROR(INDEX(INDEX(INDIRECT($A$2&amp;$AI131,TRUE),0),AR$2),"")</f>
        <v/>
      </c>
      <c r="AS131" s="6" t="str" cm="1">
        <f t="array" aca="1" ref="AS131" ca="1">IFERROR(INDEX(INDEX(INDIRECT($A$2&amp;$AI131,TRUE),0),AS$2),"")</f>
        <v/>
      </c>
      <c r="AT131" s="6" t="str" cm="1">
        <f t="array" aca="1" ref="AT131" ca="1">IFERROR(INDEX(INDEX(INDIRECT($A$2&amp;$AI131,TRUE),0),AT$2),"")</f>
        <v/>
      </c>
      <c r="AU131" s="6"/>
    </row>
    <row r="132" spans="34:47">
      <c r="AI132" t="s">
        <v>63</v>
      </c>
      <c r="AJ132" s="8">
        <f>AJ125-1</f>
        <v>-18</v>
      </c>
      <c r="AK132" s="9" t="e">
        <f>" ("&amp;CHOOSE(WEEKDAY(AJ132,1),"日","月","火","水","木","金","土")&amp;")"</f>
        <v>#NUM!</v>
      </c>
      <c r="AL132" s="10"/>
      <c r="AM132" s="10"/>
      <c r="AN132" s="10"/>
      <c r="AO132" s="10"/>
      <c r="AP132" s="10"/>
      <c r="AQ132" s="10"/>
      <c r="AR132" s="10"/>
      <c r="AS132" s="10"/>
      <c r="AT132" s="10"/>
      <c r="AU132" s="6"/>
    </row>
    <row r="133" spans="34:47">
      <c r="AH133" s="6">
        <v>1</v>
      </c>
      <c r="AI133" s="6" t="e">
        <f>INDEX($T$4:$AE$32,MATCH($AJ$132,$B$4:$B$34,0),MATCH($AJ133,$T$3:$AE$3,0))</f>
        <v>#N/A</v>
      </c>
      <c r="AJ133" s="6" t="s">
        <v>19</v>
      </c>
      <c r="AK133" s="6" t="str" cm="1">
        <f t="array" aca="1" ref="AK133" ca="1">IFERROR(INDEX(INDEX(INDIRECT($A$2&amp;$AI133,TRUE),0),AK$2),"")</f>
        <v/>
      </c>
      <c r="AL133" s="6" t="str" cm="1">
        <f t="array" aca="1" ref="AL133" ca="1">IFERROR(INDEX(INDEX(INDIRECT($A$2&amp;$AI133,TRUE),0),AL$2),"")</f>
        <v/>
      </c>
      <c r="AM133" s="6" t="str" cm="1">
        <f t="array" aca="1" ref="AM133" ca="1">IFERROR(INDEX(INDEX(INDIRECT($A$2&amp;$AI133,TRUE),0),AM$2),"")</f>
        <v/>
      </c>
      <c r="AN133" s="6" t="str" cm="1">
        <f t="array" aca="1" ref="AN133" ca="1">IFERROR(INDEX(INDEX(INDIRECT($A$2&amp;$AI133,TRUE),0),AN$2),"")</f>
        <v/>
      </c>
      <c r="AO133" s="6" t="str" cm="1">
        <f t="array" aca="1" ref="AO133" ca="1">IFERROR(INDEX(INDEX(INDIRECT($A$2&amp;$AI133,TRUE),0),AO$2),"")</f>
        <v/>
      </c>
      <c r="AP133" s="6" t="str" cm="1">
        <f t="array" aca="1" ref="AP133" ca="1">IFERROR(INDEX(INDEX(INDIRECT($A$2&amp;$AI133,TRUE),0),AP$2),"")</f>
        <v/>
      </c>
      <c r="AQ133" s="6" t="str" cm="1">
        <f t="array" aca="1" ref="AQ133" ca="1">IFERROR(INDEX(INDEX(INDIRECT($A$2&amp;$AI133,TRUE),0),AQ$2),"")</f>
        <v/>
      </c>
      <c r="AR133" s="6" t="str" cm="1">
        <f t="array" aca="1" ref="AR133" ca="1">IFERROR(INDEX(INDEX(INDIRECT($A$2&amp;$AI133,TRUE),0),AR$2),"")</f>
        <v/>
      </c>
      <c r="AS133" s="6" t="str" cm="1">
        <f t="array" aca="1" ref="AS133" ca="1">IFERROR(INDEX(INDEX(INDIRECT($A$2&amp;$AI133,TRUE),0),AS$2),"")</f>
        <v/>
      </c>
      <c r="AT133" s="6" t="str" cm="1">
        <f t="array" aca="1" ref="AT133" ca="1">IFERROR(INDEX(INDEX(INDIRECT($A$2&amp;$AI133,TRUE),0),AT$2),"")</f>
        <v/>
      </c>
      <c r="AU133" s="6"/>
    </row>
    <row r="134" spans="34:47">
      <c r="AH134" s="6">
        <v>2</v>
      </c>
      <c r="AI134" s="6" t="e">
        <f t="shared" ref="AI134:AI138" si="106">INDEX($T$4:$AE$32,MATCH($AJ$132,$B$4:$B$34,0),MATCH($AJ134,$T$3:$AE$3,0))</f>
        <v>#N/A</v>
      </c>
      <c r="AJ134" s="6" t="s">
        <v>24</v>
      </c>
      <c r="AK134" s="6" t="str" cm="1">
        <f t="array" aca="1" ref="AK134" ca="1">IFERROR(INDEX(INDEX(INDIRECT($A$2&amp;$AI134,TRUE),0),AK$2),"")</f>
        <v/>
      </c>
      <c r="AL134" s="6" t="str" cm="1">
        <f t="array" aca="1" ref="AL134" ca="1">IFERROR(INDEX(INDEX(INDIRECT($A$2&amp;$AI134,TRUE),0),AL$2),"")</f>
        <v/>
      </c>
      <c r="AM134" s="6" t="str" cm="1">
        <f t="array" aca="1" ref="AM134" ca="1">IFERROR(INDEX(INDEX(INDIRECT($A$2&amp;$AI134,TRUE),0),AM$2),"")</f>
        <v/>
      </c>
      <c r="AN134" s="6" t="str" cm="1">
        <f t="array" aca="1" ref="AN134" ca="1">IFERROR(INDEX(INDEX(INDIRECT($A$2&amp;$AI134,TRUE),0),AN$2),"")</f>
        <v/>
      </c>
      <c r="AO134" s="6" t="str" cm="1">
        <f t="array" aca="1" ref="AO134" ca="1">IFERROR(INDEX(INDEX(INDIRECT($A$2&amp;$AI134,TRUE),0),AO$2),"")</f>
        <v/>
      </c>
      <c r="AP134" s="6" t="str" cm="1">
        <f t="array" aca="1" ref="AP134" ca="1">IFERROR(INDEX(INDEX(INDIRECT($A$2&amp;$AI134,TRUE),0),AP$2),"")</f>
        <v/>
      </c>
      <c r="AQ134" s="6" t="str" cm="1">
        <f t="array" aca="1" ref="AQ134" ca="1">IFERROR(INDEX(INDEX(INDIRECT($A$2&amp;$AI134,TRUE),0),AQ$2),"")</f>
        <v/>
      </c>
      <c r="AR134" s="6" t="str" cm="1">
        <f t="array" aca="1" ref="AR134" ca="1">IFERROR(INDEX(INDEX(INDIRECT($A$2&amp;$AI134,TRUE),0),AR$2),"")</f>
        <v/>
      </c>
      <c r="AS134" s="6" t="str" cm="1">
        <f t="array" aca="1" ref="AS134" ca="1">IFERROR(INDEX(INDEX(INDIRECT($A$2&amp;$AI134,TRUE),0),AS$2),"")</f>
        <v/>
      </c>
      <c r="AT134" s="6" t="str" cm="1">
        <f t="array" aca="1" ref="AT134" ca="1">IFERROR(INDEX(INDEX(INDIRECT($A$2&amp;$AI134,TRUE),0),AT$2),"")</f>
        <v/>
      </c>
      <c r="AU134" s="6"/>
    </row>
    <row r="135" spans="34:47">
      <c r="AH135" s="6">
        <v>3</v>
      </c>
      <c r="AI135" s="6" t="e">
        <f t="shared" si="106"/>
        <v>#N/A</v>
      </c>
      <c r="AJ135" s="6" t="s">
        <v>11</v>
      </c>
      <c r="AK135" s="6" t="str" cm="1">
        <f t="array" aca="1" ref="AK135" ca="1">IFERROR(INDEX(INDEX(INDIRECT($A$2&amp;$AI135,TRUE),0),AK$2),"")</f>
        <v/>
      </c>
      <c r="AL135" s="6" t="str" cm="1">
        <f t="array" aca="1" ref="AL135" ca="1">IFERROR(INDEX(INDEX(INDIRECT($A$2&amp;$AI135,TRUE),0),AL$2),"")</f>
        <v/>
      </c>
      <c r="AM135" s="6" t="str" cm="1">
        <f t="array" aca="1" ref="AM135" ca="1">IFERROR(INDEX(INDEX(INDIRECT($A$2&amp;$AI135,TRUE),0),AM$2),"")</f>
        <v/>
      </c>
      <c r="AN135" s="6" t="str" cm="1">
        <f t="array" aca="1" ref="AN135" ca="1">IFERROR(INDEX(INDEX(INDIRECT($A$2&amp;$AI135,TRUE),0),AN$2),"")</f>
        <v/>
      </c>
      <c r="AO135" s="6" t="str" cm="1">
        <f t="array" aca="1" ref="AO135" ca="1">IFERROR(INDEX(INDEX(INDIRECT($A$2&amp;$AI135,TRUE),0),AO$2),"")</f>
        <v/>
      </c>
      <c r="AP135" s="6" t="str" cm="1">
        <f t="array" aca="1" ref="AP135" ca="1">IFERROR(INDEX(INDEX(INDIRECT($A$2&amp;$AI135,TRUE),0),AP$2),"")</f>
        <v/>
      </c>
      <c r="AQ135" s="6" t="str" cm="1">
        <f t="array" aca="1" ref="AQ135" ca="1">IFERROR(INDEX(INDEX(INDIRECT($A$2&amp;$AI135,TRUE),0),AQ$2),"")</f>
        <v/>
      </c>
      <c r="AR135" s="6" t="str" cm="1">
        <f t="array" aca="1" ref="AR135" ca="1">IFERROR(INDEX(INDEX(INDIRECT($A$2&amp;$AI135,TRUE),0),AR$2),"")</f>
        <v/>
      </c>
      <c r="AS135" s="6" t="str" cm="1">
        <f t="array" aca="1" ref="AS135" ca="1">IFERROR(INDEX(INDEX(INDIRECT($A$2&amp;$AI135,TRUE),0),AS$2),"")</f>
        <v/>
      </c>
      <c r="AT135" s="6" t="str" cm="1">
        <f t="array" aca="1" ref="AT135" ca="1">IFERROR(INDEX(INDEX(INDIRECT($A$2&amp;$AI135,TRUE),0),AT$2),"")</f>
        <v/>
      </c>
      <c r="AU135" s="6"/>
    </row>
    <row r="136" spans="34:47">
      <c r="AH136" s="6">
        <v>4</v>
      </c>
      <c r="AI136" s="6" t="e">
        <f t="shared" si="106"/>
        <v>#N/A</v>
      </c>
      <c r="AJ136" s="6" t="s">
        <v>32</v>
      </c>
      <c r="AK136" s="6" t="str" cm="1">
        <f t="array" aca="1" ref="AK136" ca="1">IFERROR(INDEX(INDEX(INDIRECT($A$2&amp;$AI136,TRUE),0),AK$2),"")</f>
        <v/>
      </c>
      <c r="AL136" s="6" t="str" cm="1">
        <f t="array" aca="1" ref="AL136" ca="1">IFERROR(INDEX(INDEX(INDIRECT($A$2&amp;$AI136,TRUE),0),AL$2),"")</f>
        <v/>
      </c>
      <c r="AM136" s="6" t="str" cm="1">
        <f t="array" aca="1" ref="AM136" ca="1">IFERROR(INDEX(INDEX(INDIRECT($A$2&amp;$AI136,TRUE),0),AM$2),"")</f>
        <v/>
      </c>
      <c r="AN136" s="6" t="str" cm="1">
        <f t="array" aca="1" ref="AN136" ca="1">IFERROR(INDEX(INDEX(INDIRECT($A$2&amp;$AI136,TRUE),0),AN$2),"")</f>
        <v/>
      </c>
      <c r="AO136" s="6" t="str" cm="1">
        <f t="array" aca="1" ref="AO136" ca="1">IFERROR(INDEX(INDEX(INDIRECT($A$2&amp;$AI136,TRUE),0),AO$2),"")</f>
        <v/>
      </c>
      <c r="AP136" s="6" t="str" cm="1">
        <f t="array" aca="1" ref="AP136" ca="1">IFERROR(INDEX(INDEX(INDIRECT($A$2&amp;$AI136,TRUE),0),AP$2),"")</f>
        <v/>
      </c>
      <c r="AQ136" s="6" t="str" cm="1">
        <f t="array" aca="1" ref="AQ136" ca="1">IFERROR(INDEX(INDEX(INDIRECT($A$2&amp;$AI136,TRUE),0),AQ$2),"")</f>
        <v/>
      </c>
      <c r="AR136" s="6" t="str" cm="1">
        <f t="array" aca="1" ref="AR136" ca="1">IFERROR(INDEX(INDEX(INDIRECT($A$2&amp;$AI136,TRUE),0),AR$2),"")</f>
        <v/>
      </c>
      <c r="AS136" s="6" t="str" cm="1">
        <f t="array" aca="1" ref="AS136" ca="1">IFERROR(INDEX(INDEX(INDIRECT($A$2&amp;$AI136,TRUE),0),AS$2),"")</f>
        <v/>
      </c>
      <c r="AT136" s="6" t="str" cm="1">
        <f t="array" aca="1" ref="AT136" ca="1">IFERROR(INDEX(INDEX(INDIRECT($A$2&amp;$AI136,TRUE),0),AT$2),"")</f>
        <v/>
      </c>
      <c r="AU136" s="6"/>
    </row>
    <row r="137" spans="34:47">
      <c r="AH137" s="6">
        <v>5</v>
      </c>
      <c r="AI137" s="6" t="e">
        <f t="shared" si="106"/>
        <v>#N/A</v>
      </c>
      <c r="AJ137" s="6" t="s">
        <v>37</v>
      </c>
      <c r="AK137" s="6" t="str" cm="1">
        <f t="array" aca="1" ref="AK137" ca="1">IFERROR(INDEX(INDEX(INDIRECT($A$2&amp;$AI137,TRUE),0),AK$2),"")</f>
        <v/>
      </c>
      <c r="AL137" s="6" t="str" cm="1">
        <f t="array" aca="1" ref="AL137" ca="1">IFERROR(INDEX(INDEX(INDIRECT($A$2&amp;$AI137,TRUE),0),AL$2),"")</f>
        <v/>
      </c>
      <c r="AM137" s="6" t="str" cm="1">
        <f t="array" aca="1" ref="AM137" ca="1">IFERROR(INDEX(INDEX(INDIRECT($A$2&amp;$AI137,TRUE),0),AM$2),"")</f>
        <v/>
      </c>
      <c r="AN137" s="6" t="str" cm="1">
        <f t="array" aca="1" ref="AN137" ca="1">IFERROR(INDEX(INDEX(INDIRECT($A$2&amp;$AI137,TRUE),0),AN$2),"")</f>
        <v/>
      </c>
      <c r="AO137" s="6" t="str" cm="1">
        <f t="array" aca="1" ref="AO137" ca="1">IFERROR(INDEX(INDEX(INDIRECT($A$2&amp;$AI137,TRUE),0),AO$2),"")</f>
        <v/>
      </c>
      <c r="AP137" s="6" t="str" cm="1">
        <f t="array" aca="1" ref="AP137" ca="1">IFERROR(INDEX(INDEX(INDIRECT($A$2&amp;$AI137,TRUE),0),AP$2),"")</f>
        <v/>
      </c>
      <c r="AQ137" s="6" t="str" cm="1">
        <f t="array" aca="1" ref="AQ137" ca="1">IFERROR(INDEX(INDEX(INDIRECT($A$2&amp;$AI137,TRUE),0),AQ$2),"")</f>
        <v/>
      </c>
      <c r="AR137" s="6" t="str" cm="1">
        <f t="array" aca="1" ref="AR137" ca="1">IFERROR(INDEX(INDEX(INDIRECT($A$2&amp;$AI137,TRUE),0),AR$2),"")</f>
        <v/>
      </c>
      <c r="AS137" s="6" t="str" cm="1">
        <f t="array" aca="1" ref="AS137" ca="1">IFERROR(INDEX(INDEX(INDIRECT($A$2&amp;$AI137,TRUE),0),AS$2),"")</f>
        <v/>
      </c>
      <c r="AT137" s="6" t="str" cm="1">
        <f t="array" aca="1" ref="AT137" ca="1">IFERROR(INDEX(INDEX(INDIRECT($A$2&amp;$AI137,TRUE),0),AT$2),"")</f>
        <v/>
      </c>
      <c r="AU137" s="6"/>
    </row>
    <row r="138" spans="34:47">
      <c r="AH138" s="6">
        <v>6</v>
      </c>
      <c r="AI138" s="6" t="e">
        <f t="shared" si="106"/>
        <v>#N/A</v>
      </c>
      <c r="AJ138" s="6" t="s">
        <v>41</v>
      </c>
      <c r="AK138" s="6" t="str" cm="1">
        <f t="array" aca="1" ref="AK138" ca="1">IFERROR(INDEX(INDEX(INDIRECT($A$2&amp;$AI138,TRUE),0),AK$2),"")</f>
        <v/>
      </c>
      <c r="AL138" s="6" t="str" cm="1">
        <f t="array" aca="1" ref="AL138" ca="1">IFERROR(INDEX(INDEX(INDIRECT($A$2&amp;$AI138,TRUE),0),AL$2),"")</f>
        <v/>
      </c>
      <c r="AM138" s="6" t="str" cm="1">
        <f t="array" aca="1" ref="AM138" ca="1">IFERROR(INDEX(INDEX(INDIRECT($A$2&amp;$AI138,TRUE),0),AM$2),"")</f>
        <v/>
      </c>
      <c r="AN138" s="6" t="str" cm="1">
        <f t="array" aca="1" ref="AN138" ca="1">IFERROR(INDEX(INDEX(INDIRECT($A$2&amp;$AI138,TRUE),0),AN$2),"")</f>
        <v/>
      </c>
      <c r="AO138" s="6" t="str" cm="1">
        <f t="array" aca="1" ref="AO138" ca="1">IFERROR(INDEX(INDEX(INDIRECT($A$2&amp;$AI138,TRUE),0),AO$2),"")</f>
        <v/>
      </c>
      <c r="AP138" s="6" t="str" cm="1">
        <f t="array" aca="1" ref="AP138" ca="1">IFERROR(INDEX(INDEX(INDIRECT($A$2&amp;$AI138,TRUE),0),AP$2),"")</f>
        <v/>
      </c>
      <c r="AQ138" s="6" t="str" cm="1">
        <f t="array" aca="1" ref="AQ138" ca="1">IFERROR(INDEX(INDEX(INDIRECT($A$2&amp;$AI138,TRUE),0),AQ$2),"")</f>
        <v/>
      </c>
      <c r="AR138" s="6" t="str" cm="1">
        <f t="array" aca="1" ref="AR138" ca="1">IFERROR(INDEX(INDEX(INDIRECT($A$2&amp;$AI138,TRUE),0),AR$2),"")</f>
        <v/>
      </c>
      <c r="AS138" s="6" t="str" cm="1">
        <f t="array" aca="1" ref="AS138" ca="1">IFERROR(INDEX(INDEX(INDIRECT($A$2&amp;$AI138,TRUE),0),AS$2),"")</f>
        <v/>
      </c>
      <c r="AT138" s="6" t="str" cm="1">
        <f t="array" aca="1" ref="AT138" ca="1">IFERROR(INDEX(INDEX(INDIRECT($A$2&amp;$AI138,TRUE),0),AT$2),"")</f>
        <v/>
      </c>
      <c r="AU138" s="6"/>
    </row>
    <row r="139" spans="34:47">
      <c r="AI139" t="s">
        <v>63</v>
      </c>
      <c r="AJ139" s="8">
        <f>AJ132-1</f>
        <v>-19</v>
      </c>
      <c r="AK139" s="9" t="e">
        <f>" ("&amp;CHOOSE(WEEKDAY(AJ139,1),"日","月","火","水","木","金","土")&amp;")"</f>
        <v>#NUM!</v>
      </c>
      <c r="AL139" s="10"/>
      <c r="AM139" s="10"/>
      <c r="AN139" s="10"/>
      <c r="AO139" s="10"/>
      <c r="AP139" s="10"/>
      <c r="AQ139" s="10"/>
      <c r="AR139" s="10"/>
      <c r="AS139" s="10"/>
      <c r="AT139" s="10"/>
      <c r="AU139" s="6"/>
    </row>
    <row r="140" spans="34:47">
      <c r="AH140" s="6">
        <v>1</v>
      </c>
      <c r="AI140" s="6" t="e">
        <f>INDEX($T$4:$AE$32,MATCH($AJ$139,$B$4:$B$34,0),MATCH($AJ140,$T$3:$AE$3,0))</f>
        <v>#N/A</v>
      </c>
      <c r="AJ140" s="6" t="s">
        <v>19</v>
      </c>
      <c r="AK140" s="6" t="str" cm="1">
        <f t="array" aca="1" ref="AK140" ca="1">IFERROR(INDEX(INDEX(INDIRECT($A$2&amp;$AI140,TRUE),0),AK$2),"")</f>
        <v/>
      </c>
      <c r="AL140" s="6" t="str" cm="1">
        <f t="array" aca="1" ref="AL140" ca="1">IFERROR(INDEX(INDEX(INDIRECT($A$2&amp;$AI140,TRUE),0),AL$2),"")</f>
        <v/>
      </c>
      <c r="AM140" s="6" t="str" cm="1">
        <f t="array" aca="1" ref="AM140" ca="1">IFERROR(INDEX(INDEX(INDIRECT($A$2&amp;$AI140,TRUE),0),AM$2),"")</f>
        <v/>
      </c>
      <c r="AN140" s="6" t="str" cm="1">
        <f t="array" aca="1" ref="AN140" ca="1">IFERROR(INDEX(INDEX(INDIRECT($A$2&amp;$AI140,TRUE),0),AN$2),"")</f>
        <v/>
      </c>
      <c r="AO140" s="6" t="str" cm="1">
        <f t="array" aca="1" ref="AO140" ca="1">IFERROR(INDEX(INDEX(INDIRECT($A$2&amp;$AI140,TRUE),0),AO$2),"")</f>
        <v/>
      </c>
      <c r="AP140" s="6" t="str" cm="1">
        <f t="array" aca="1" ref="AP140" ca="1">IFERROR(INDEX(INDEX(INDIRECT($A$2&amp;$AI140,TRUE),0),AP$2),"")</f>
        <v/>
      </c>
      <c r="AQ140" s="6" t="str" cm="1">
        <f t="array" aca="1" ref="AQ140" ca="1">IFERROR(INDEX(INDEX(INDIRECT($A$2&amp;$AI140,TRUE),0),AQ$2),"")</f>
        <v/>
      </c>
      <c r="AR140" s="6" t="str" cm="1">
        <f t="array" aca="1" ref="AR140" ca="1">IFERROR(INDEX(INDEX(INDIRECT($A$2&amp;$AI140,TRUE),0),AR$2),"")</f>
        <v/>
      </c>
      <c r="AS140" s="6" t="str" cm="1">
        <f t="array" aca="1" ref="AS140" ca="1">IFERROR(INDEX(INDEX(INDIRECT($A$2&amp;$AI140,TRUE),0),AS$2),"")</f>
        <v/>
      </c>
      <c r="AT140" s="6" t="str" cm="1">
        <f t="array" aca="1" ref="AT140" ca="1">IFERROR(INDEX(INDEX(INDIRECT($A$2&amp;$AI140,TRUE),0),AT$2),"")</f>
        <v/>
      </c>
      <c r="AU140" s="6"/>
    </row>
    <row r="141" spans="34:47">
      <c r="AH141" s="6">
        <v>2</v>
      </c>
      <c r="AI141" s="6" t="e">
        <f t="shared" ref="AI141:AI145" si="107">INDEX($T$4:$AE$32,MATCH($AJ$139,$B$4:$B$34,0),MATCH($AJ141,$T$3:$AE$3,0))</f>
        <v>#N/A</v>
      </c>
      <c r="AJ141" s="6" t="s">
        <v>24</v>
      </c>
      <c r="AK141" s="6" t="str" cm="1">
        <f t="array" aca="1" ref="AK141" ca="1">IFERROR(INDEX(INDEX(INDIRECT($A$2&amp;$AI141,TRUE),0),AK$2),"")</f>
        <v/>
      </c>
      <c r="AL141" s="6" t="str" cm="1">
        <f t="array" aca="1" ref="AL141" ca="1">IFERROR(INDEX(INDEX(INDIRECT($A$2&amp;$AI141,TRUE),0),AL$2),"")</f>
        <v/>
      </c>
      <c r="AM141" s="6" t="str" cm="1">
        <f t="array" aca="1" ref="AM141" ca="1">IFERROR(INDEX(INDEX(INDIRECT($A$2&amp;$AI141,TRUE),0),AM$2),"")</f>
        <v/>
      </c>
      <c r="AN141" s="6" t="str" cm="1">
        <f t="array" aca="1" ref="AN141" ca="1">IFERROR(INDEX(INDEX(INDIRECT($A$2&amp;$AI141,TRUE),0),AN$2),"")</f>
        <v/>
      </c>
      <c r="AO141" s="6" t="str" cm="1">
        <f t="array" aca="1" ref="AO141" ca="1">IFERROR(INDEX(INDEX(INDIRECT($A$2&amp;$AI141,TRUE),0),AO$2),"")</f>
        <v/>
      </c>
      <c r="AP141" s="6" t="str" cm="1">
        <f t="array" aca="1" ref="AP141" ca="1">IFERROR(INDEX(INDEX(INDIRECT($A$2&amp;$AI141,TRUE),0),AP$2),"")</f>
        <v/>
      </c>
      <c r="AQ141" s="6" t="str" cm="1">
        <f t="array" aca="1" ref="AQ141" ca="1">IFERROR(INDEX(INDEX(INDIRECT($A$2&amp;$AI141,TRUE),0),AQ$2),"")</f>
        <v/>
      </c>
      <c r="AR141" s="6" t="str" cm="1">
        <f t="array" aca="1" ref="AR141" ca="1">IFERROR(INDEX(INDEX(INDIRECT($A$2&amp;$AI141,TRUE),0),AR$2),"")</f>
        <v/>
      </c>
      <c r="AS141" s="6" t="str" cm="1">
        <f t="array" aca="1" ref="AS141" ca="1">IFERROR(INDEX(INDEX(INDIRECT($A$2&amp;$AI141,TRUE),0),AS$2),"")</f>
        <v/>
      </c>
      <c r="AT141" s="6" t="str" cm="1">
        <f t="array" aca="1" ref="AT141" ca="1">IFERROR(INDEX(INDEX(INDIRECT($A$2&amp;$AI141,TRUE),0),AT$2),"")</f>
        <v/>
      </c>
      <c r="AU141" s="6"/>
    </row>
    <row r="142" spans="34:47">
      <c r="AH142" s="6">
        <v>3</v>
      </c>
      <c r="AI142" s="6" t="e">
        <f t="shared" si="107"/>
        <v>#N/A</v>
      </c>
      <c r="AJ142" s="6" t="s">
        <v>11</v>
      </c>
      <c r="AK142" s="6" t="str" cm="1">
        <f t="array" aca="1" ref="AK142" ca="1">IFERROR(INDEX(INDEX(INDIRECT($A$2&amp;$AI142,TRUE),0),AK$2),"")</f>
        <v/>
      </c>
      <c r="AL142" s="6" t="str" cm="1">
        <f t="array" aca="1" ref="AL142" ca="1">IFERROR(INDEX(INDEX(INDIRECT($A$2&amp;$AI142,TRUE),0),AL$2),"")</f>
        <v/>
      </c>
      <c r="AM142" s="6" t="str" cm="1">
        <f t="array" aca="1" ref="AM142" ca="1">IFERROR(INDEX(INDEX(INDIRECT($A$2&amp;$AI142,TRUE),0),AM$2),"")</f>
        <v/>
      </c>
      <c r="AN142" s="6" t="str" cm="1">
        <f t="array" aca="1" ref="AN142" ca="1">IFERROR(INDEX(INDEX(INDIRECT($A$2&amp;$AI142,TRUE),0),AN$2),"")</f>
        <v/>
      </c>
      <c r="AO142" s="6" t="str" cm="1">
        <f t="array" aca="1" ref="AO142" ca="1">IFERROR(INDEX(INDEX(INDIRECT($A$2&amp;$AI142,TRUE),0),AO$2),"")</f>
        <v/>
      </c>
      <c r="AP142" s="6" t="str" cm="1">
        <f t="array" aca="1" ref="AP142" ca="1">IFERROR(INDEX(INDEX(INDIRECT($A$2&amp;$AI142,TRUE),0),AP$2),"")</f>
        <v/>
      </c>
      <c r="AQ142" s="6" t="str" cm="1">
        <f t="array" aca="1" ref="AQ142" ca="1">IFERROR(INDEX(INDEX(INDIRECT($A$2&amp;$AI142,TRUE),0),AQ$2),"")</f>
        <v/>
      </c>
      <c r="AR142" s="6" t="str" cm="1">
        <f t="array" aca="1" ref="AR142" ca="1">IFERROR(INDEX(INDEX(INDIRECT($A$2&amp;$AI142,TRUE),0),AR$2),"")</f>
        <v/>
      </c>
      <c r="AS142" s="6" t="str" cm="1">
        <f t="array" aca="1" ref="AS142" ca="1">IFERROR(INDEX(INDEX(INDIRECT($A$2&amp;$AI142,TRUE),0),AS$2),"")</f>
        <v/>
      </c>
      <c r="AT142" s="6" t="str" cm="1">
        <f t="array" aca="1" ref="AT142" ca="1">IFERROR(INDEX(INDEX(INDIRECT($A$2&amp;$AI142,TRUE),0),AT$2),"")</f>
        <v/>
      </c>
      <c r="AU142" s="6"/>
    </row>
    <row r="143" spans="34:47">
      <c r="AH143" s="6">
        <v>4</v>
      </c>
      <c r="AI143" s="6" t="e">
        <f t="shared" si="107"/>
        <v>#N/A</v>
      </c>
      <c r="AJ143" s="6" t="s">
        <v>32</v>
      </c>
      <c r="AK143" s="6" t="str" cm="1">
        <f t="array" aca="1" ref="AK143" ca="1">IFERROR(INDEX(INDEX(INDIRECT($A$2&amp;$AI143,TRUE),0),AK$2),"")</f>
        <v/>
      </c>
      <c r="AL143" s="6" t="str" cm="1">
        <f t="array" aca="1" ref="AL143" ca="1">IFERROR(INDEX(INDEX(INDIRECT($A$2&amp;$AI143,TRUE),0),AL$2),"")</f>
        <v/>
      </c>
      <c r="AM143" s="6" t="str" cm="1">
        <f t="array" aca="1" ref="AM143" ca="1">IFERROR(INDEX(INDEX(INDIRECT($A$2&amp;$AI143,TRUE),0),AM$2),"")</f>
        <v/>
      </c>
      <c r="AN143" s="6" t="str" cm="1">
        <f t="array" aca="1" ref="AN143" ca="1">IFERROR(INDEX(INDEX(INDIRECT($A$2&amp;$AI143,TRUE),0),AN$2),"")</f>
        <v/>
      </c>
      <c r="AO143" s="6" t="str" cm="1">
        <f t="array" aca="1" ref="AO143" ca="1">IFERROR(INDEX(INDEX(INDIRECT($A$2&amp;$AI143,TRUE),0),AO$2),"")</f>
        <v/>
      </c>
      <c r="AP143" s="6" t="str" cm="1">
        <f t="array" aca="1" ref="AP143" ca="1">IFERROR(INDEX(INDEX(INDIRECT($A$2&amp;$AI143,TRUE),0),AP$2),"")</f>
        <v/>
      </c>
      <c r="AQ143" s="6" t="str" cm="1">
        <f t="array" aca="1" ref="AQ143" ca="1">IFERROR(INDEX(INDEX(INDIRECT($A$2&amp;$AI143,TRUE),0),AQ$2),"")</f>
        <v/>
      </c>
      <c r="AR143" s="6" t="str" cm="1">
        <f t="array" aca="1" ref="AR143" ca="1">IFERROR(INDEX(INDEX(INDIRECT($A$2&amp;$AI143,TRUE),0),AR$2),"")</f>
        <v/>
      </c>
      <c r="AS143" s="6" t="str" cm="1">
        <f t="array" aca="1" ref="AS143" ca="1">IFERROR(INDEX(INDEX(INDIRECT($A$2&amp;$AI143,TRUE),0),AS$2),"")</f>
        <v/>
      </c>
      <c r="AT143" s="6" t="str" cm="1">
        <f t="array" aca="1" ref="AT143" ca="1">IFERROR(INDEX(INDEX(INDIRECT($A$2&amp;$AI143,TRUE),0),AT$2),"")</f>
        <v/>
      </c>
      <c r="AU143" s="6"/>
    </row>
    <row r="144" spans="34:47">
      <c r="AH144" s="6">
        <v>5</v>
      </c>
      <c r="AI144" s="6" t="e">
        <f t="shared" si="107"/>
        <v>#N/A</v>
      </c>
      <c r="AJ144" s="6" t="s">
        <v>37</v>
      </c>
      <c r="AK144" s="6" t="str" cm="1">
        <f t="array" aca="1" ref="AK144" ca="1">IFERROR(INDEX(INDEX(INDIRECT($A$2&amp;$AI144,TRUE),0),AK$2),"")</f>
        <v/>
      </c>
      <c r="AL144" s="6" t="str" cm="1">
        <f t="array" aca="1" ref="AL144" ca="1">IFERROR(INDEX(INDEX(INDIRECT($A$2&amp;$AI144,TRUE),0),AL$2),"")</f>
        <v/>
      </c>
      <c r="AM144" s="6" t="str" cm="1">
        <f t="array" aca="1" ref="AM144" ca="1">IFERROR(INDEX(INDEX(INDIRECT($A$2&amp;$AI144,TRUE),0),AM$2),"")</f>
        <v/>
      </c>
      <c r="AN144" s="6" t="str" cm="1">
        <f t="array" aca="1" ref="AN144" ca="1">IFERROR(INDEX(INDEX(INDIRECT($A$2&amp;$AI144,TRUE),0),AN$2),"")</f>
        <v/>
      </c>
      <c r="AO144" s="6" t="str" cm="1">
        <f t="array" aca="1" ref="AO144" ca="1">IFERROR(INDEX(INDEX(INDIRECT($A$2&amp;$AI144,TRUE),0),AO$2),"")</f>
        <v/>
      </c>
      <c r="AP144" s="6" t="str" cm="1">
        <f t="array" aca="1" ref="AP144" ca="1">IFERROR(INDEX(INDEX(INDIRECT($A$2&amp;$AI144,TRUE),0),AP$2),"")</f>
        <v/>
      </c>
      <c r="AQ144" s="6" t="str" cm="1">
        <f t="array" aca="1" ref="AQ144" ca="1">IFERROR(INDEX(INDEX(INDIRECT($A$2&amp;$AI144,TRUE),0),AQ$2),"")</f>
        <v/>
      </c>
      <c r="AR144" s="6" t="str" cm="1">
        <f t="array" aca="1" ref="AR144" ca="1">IFERROR(INDEX(INDEX(INDIRECT($A$2&amp;$AI144,TRUE),0),AR$2),"")</f>
        <v/>
      </c>
      <c r="AS144" s="6" t="str" cm="1">
        <f t="array" aca="1" ref="AS144" ca="1">IFERROR(INDEX(INDEX(INDIRECT($A$2&amp;$AI144,TRUE),0),AS$2),"")</f>
        <v/>
      </c>
      <c r="AT144" s="6" t="str" cm="1">
        <f t="array" aca="1" ref="AT144" ca="1">IFERROR(INDEX(INDEX(INDIRECT($A$2&amp;$AI144,TRUE),0),AT$2),"")</f>
        <v/>
      </c>
      <c r="AU144" s="6"/>
    </row>
    <row r="145" spans="34:47">
      <c r="AH145" s="6">
        <v>6</v>
      </c>
      <c r="AI145" s="6" t="e">
        <f t="shared" si="107"/>
        <v>#N/A</v>
      </c>
      <c r="AJ145" s="6" t="s">
        <v>41</v>
      </c>
      <c r="AK145" s="6" t="str" cm="1">
        <f t="array" aca="1" ref="AK145" ca="1">IFERROR(INDEX(INDEX(INDIRECT($A$2&amp;$AI145,TRUE),0),AK$2),"")</f>
        <v/>
      </c>
      <c r="AL145" s="6" t="str" cm="1">
        <f t="array" aca="1" ref="AL145" ca="1">IFERROR(INDEX(INDEX(INDIRECT($A$2&amp;$AI145,TRUE),0),AL$2),"")</f>
        <v/>
      </c>
      <c r="AM145" s="6" t="str" cm="1">
        <f t="array" aca="1" ref="AM145" ca="1">IFERROR(INDEX(INDEX(INDIRECT($A$2&amp;$AI145,TRUE),0),AM$2),"")</f>
        <v/>
      </c>
      <c r="AN145" s="6" t="str" cm="1">
        <f t="array" aca="1" ref="AN145" ca="1">IFERROR(INDEX(INDEX(INDIRECT($A$2&amp;$AI145,TRUE),0),AN$2),"")</f>
        <v/>
      </c>
      <c r="AO145" s="6" t="str" cm="1">
        <f t="array" aca="1" ref="AO145" ca="1">IFERROR(INDEX(INDEX(INDIRECT($A$2&amp;$AI145,TRUE),0),AO$2),"")</f>
        <v/>
      </c>
      <c r="AP145" s="6" t="str" cm="1">
        <f t="array" aca="1" ref="AP145" ca="1">IFERROR(INDEX(INDEX(INDIRECT($A$2&amp;$AI145,TRUE),0),AP$2),"")</f>
        <v/>
      </c>
      <c r="AQ145" s="6" t="str" cm="1">
        <f t="array" aca="1" ref="AQ145" ca="1">IFERROR(INDEX(INDEX(INDIRECT($A$2&amp;$AI145,TRUE),0),AQ$2),"")</f>
        <v/>
      </c>
      <c r="AR145" s="6" t="str" cm="1">
        <f t="array" aca="1" ref="AR145" ca="1">IFERROR(INDEX(INDEX(INDIRECT($A$2&amp;$AI145,TRUE),0),AR$2),"")</f>
        <v/>
      </c>
      <c r="AS145" s="6" t="str" cm="1">
        <f t="array" aca="1" ref="AS145" ca="1">IFERROR(INDEX(INDEX(INDIRECT($A$2&amp;$AI145,TRUE),0),AS$2),"")</f>
        <v/>
      </c>
      <c r="AT145" s="6" t="str" cm="1">
        <f t="array" aca="1" ref="AT145" ca="1">IFERROR(INDEX(INDEX(INDIRECT($A$2&amp;$AI145,TRUE),0),AT$2),"")</f>
        <v/>
      </c>
      <c r="AU145" s="6"/>
    </row>
    <row r="146" spans="34:47">
      <c r="AI146" t="s">
        <v>63</v>
      </c>
      <c r="AJ146" s="8">
        <f>AJ139-1</f>
        <v>-20</v>
      </c>
      <c r="AK146" s="9" t="e">
        <f>" ("&amp;CHOOSE(WEEKDAY(AJ146,1),"日","月","火","水","木","金","土")&amp;")"</f>
        <v>#NUM!</v>
      </c>
      <c r="AL146" s="10"/>
      <c r="AM146" s="10"/>
      <c r="AN146" s="10"/>
      <c r="AO146" s="10"/>
      <c r="AP146" s="10"/>
      <c r="AQ146" s="10"/>
      <c r="AR146" s="10"/>
      <c r="AS146" s="10"/>
      <c r="AT146" s="10"/>
      <c r="AU146" s="6"/>
    </row>
    <row r="147" spans="34:47">
      <c r="AH147" s="6">
        <v>1</v>
      </c>
      <c r="AI147" s="6" t="e">
        <f>INDEX($T$4:$AE$32,MATCH($AJ$146,$B$4:$B$34,0),MATCH($AJ147,$T$3:$AE$3,0))</f>
        <v>#N/A</v>
      </c>
      <c r="AJ147" s="6" t="s">
        <v>19</v>
      </c>
      <c r="AK147" s="6" t="str" cm="1">
        <f t="array" aca="1" ref="AK147" ca="1">IFERROR(INDEX(INDEX(INDIRECT($A$2&amp;$AI147,TRUE),0),AK$2),"")</f>
        <v/>
      </c>
      <c r="AL147" s="6" t="str" cm="1">
        <f t="array" aca="1" ref="AL147" ca="1">IFERROR(INDEX(INDEX(INDIRECT($A$2&amp;$AI147,TRUE),0),AL$2),"")</f>
        <v/>
      </c>
      <c r="AM147" s="6" t="str" cm="1">
        <f t="array" aca="1" ref="AM147" ca="1">IFERROR(INDEX(INDEX(INDIRECT($A$2&amp;$AI147,TRUE),0),AM$2),"")</f>
        <v/>
      </c>
      <c r="AN147" s="6" t="str" cm="1">
        <f t="array" aca="1" ref="AN147" ca="1">IFERROR(INDEX(INDEX(INDIRECT($A$2&amp;$AI147,TRUE),0),AN$2),"")</f>
        <v/>
      </c>
      <c r="AO147" s="6" t="str" cm="1">
        <f t="array" aca="1" ref="AO147" ca="1">IFERROR(INDEX(INDEX(INDIRECT($A$2&amp;$AI147,TRUE),0),AO$2),"")</f>
        <v/>
      </c>
      <c r="AP147" s="6" t="str" cm="1">
        <f t="array" aca="1" ref="AP147" ca="1">IFERROR(INDEX(INDEX(INDIRECT($A$2&amp;$AI147,TRUE),0),AP$2),"")</f>
        <v/>
      </c>
      <c r="AQ147" s="6" t="str" cm="1">
        <f t="array" aca="1" ref="AQ147" ca="1">IFERROR(INDEX(INDEX(INDIRECT($A$2&amp;$AI147,TRUE),0),AQ$2),"")</f>
        <v/>
      </c>
      <c r="AR147" s="6" t="str" cm="1">
        <f t="array" aca="1" ref="AR147" ca="1">IFERROR(INDEX(INDEX(INDIRECT($A$2&amp;$AI147,TRUE),0),AR$2),"")</f>
        <v/>
      </c>
      <c r="AS147" s="6" t="str" cm="1">
        <f t="array" aca="1" ref="AS147" ca="1">IFERROR(INDEX(INDEX(INDIRECT($A$2&amp;$AI147,TRUE),0),AS$2),"")</f>
        <v/>
      </c>
      <c r="AT147" s="6" t="str" cm="1">
        <f t="array" aca="1" ref="AT147" ca="1">IFERROR(INDEX(INDEX(INDIRECT($A$2&amp;$AI147,TRUE),0),AT$2),"")</f>
        <v/>
      </c>
      <c r="AU147" s="6"/>
    </row>
    <row r="148" spans="34:47">
      <c r="AH148" s="6">
        <v>2</v>
      </c>
      <c r="AI148" s="6" t="e">
        <f t="shared" ref="AI148:AI152" si="108">INDEX($T$4:$AE$32,MATCH($AJ$146,$B$4:$B$34,0),MATCH($AJ148,$T$3:$AE$3,0))</f>
        <v>#N/A</v>
      </c>
      <c r="AJ148" s="6" t="s">
        <v>24</v>
      </c>
      <c r="AK148" s="6" t="str" cm="1">
        <f t="array" aca="1" ref="AK148" ca="1">IFERROR(INDEX(INDEX(INDIRECT($A$2&amp;$AI148,TRUE),0),AK$2),"")</f>
        <v/>
      </c>
      <c r="AL148" s="6" t="str" cm="1">
        <f t="array" aca="1" ref="AL148" ca="1">IFERROR(INDEX(INDEX(INDIRECT($A$2&amp;$AI148,TRUE),0),AL$2),"")</f>
        <v/>
      </c>
      <c r="AM148" s="6" t="str" cm="1">
        <f t="array" aca="1" ref="AM148" ca="1">IFERROR(INDEX(INDEX(INDIRECT($A$2&amp;$AI148,TRUE),0),AM$2),"")</f>
        <v/>
      </c>
      <c r="AN148" s="6" t="str" cm="1">
        <f t="array" aca="1" ref="AN148" ca="1">IFERROR(INDEX(INDEX(INDIRECT($A$2&amp;$AI148,TRUE),0),AN$2),"")</f>
        <v/>
      </c>
      <c r="AO148" s="6" t="str" cm="1">
        <f t="array" aca="1" ref="AO148" ca="1">IFERROR(INDEX(INDEX(INDIRECT($A$2&amp;$AI148,TRUE),0),AO$2),"")</f>
        <v/>
      </c>
      <c r="AP148" s="6" t="str" cm="1">
        <f t="array" aca="1" ref="AP148" ca="1">IFERROR(INDEX(INDEX(INDIRECT($A$2&amp;$AI148,TRUE),0),AP$2),"")</f>
        <v/>
      </c>
      <c r="AQ148" s="6" t="str" cm="1">
        <f t="array" aca="1" ref="AQ148" ca="1">IFERROR(INDEX(INDEX(INDIRECT($A$2&amp;$AI148,TRUE),0),AQ$2),"")</f>
        <v/>
      </c>
      <c r="AR148" s="6" t="str" cm="1">
        <f t="array" aca="1" ref="AR148" ca="1">IFERROR(INDEX(INDEX(INDIRECT($A$2&amp;$AI148,TRUE),0),AR$2),"")</f>
        <v/>
      </c>
      <c r="AS148" s="6" t="str" cm="1">
        <f t="array" aca="1" ref="AS148" ca="1">IFERROR(INDEX(INDEX(INDIRECT($A$2&amp;$AI148,TRUE),0),AS$2),"")</f>
        <v/>
      </c>
      <c r="AT148" s="6" t="str" cm="1">
        <f t="array" aca="1" ref="AT148" ca="1">IFERROR(INDEX(INDEX(INDIRECT($A$2&amp;$AI148,TRUE),0),AT$2),"")</f>
        <v/>
      </c>
      <c r="AU148" s="6"/>
    </row>
    <row r="149" spans="34:47">
      <c r="AH149" s="6">
        <v>3</v>
      </c>
      <c r="AI149" s="6" t="e">
        <f t="shared" si="108"/>
        <v>#N/A</v>
      </c>
      <c r="AJ149" s="6" t="s">
        <v>11</v>
      </c>
      <c r="AK149" s="6" t="str" cm="1">
        <f t="array" aca="1" ref="AK149" ca="1">IFERROR(INDEX(INDEX(INDIRECT($A$2&amp;$AI149,TRUE),0),AK$2),"")</f>
        <v/>
      </c>
      <c r="AL149" s="6" t="str" cm="1">
        <f t="array" aca="1" ref="AL149" ca="1">IFERROR(INDEX(INDEX(INDIRECT($A$2&amp;$AI149,TRUE),0),AL$2),"")</f>
        <v/>
      </c>
      <c r="AM149" s="6" t="str" cm="1">
        <f t="array" aca="1" ref="AM149" ca="1">IFERROR(INDEX(INDEX(INDIRECT($A$2&amp;$AI149,TRUE),0),AM$2),"")</f>
        <v/>
      </c>
      <c r="AN149" s="6" t="str" cm="1">
        <f t="array" aca="1" ref="AN149" ca="1">IFERROR(INDEX(INDEX(INDIRECT($A$2&amp;$AI149,TRUE),0),AN$2),"")</f>
        <v/>
      </c>
      <c r="AO149" s="6" t="str" cm="1">
        <f t="array" aca="1" ref="AO149" ca="1">IFERROR(INDEX(INDEX(INDIRECT($A$2&amp;$AI149,TRUE),0),AO$2),"")</f>
        <v/>
      </c>
      <c r="AP149" s="6" t="str" cm="1">
        <f t="array" aca="1" ref="AP149" ca="1">IFERROR(INDEX(INDEX(INDIRECT($A$2&amp;$AI149,TRUE),0),AP$2),"")</f>
        <v/>
      </c>
      <c r="AQ149" s="6" t="str" cm="1">
        <f t="array" aca="1" ref="AQ149" ca="1">IFERROR(INDEX(INDEX(INDIRECT($A$2&amp;$AI149,TRUE),0),AQ$2),"")</f>
        <v/>
      </c>
      <c r="AR149" s="6" t="str" cm="1">
        <f t="array" aca="1" ref="AR149" ca="1">IFERROR(INDEX(INDEX(INDIRECT($A$2&amp;$AI149,TRUE),0),AR$2),"")</f>
        <v/>
      </c>
      <c r="AS149" s="6" t="str" cm="1">
        <f t="array" aca="1" ref="AS149" ca="1">IFERROR(INDEX(INDEX(INDIRECT($A$2&amp;$AI149,TRUE),0),AS$2),"")</f>
        <v/>
      </c>
      <c r="AT149" s="6" t="str" cm="1">
        <f t="array" aca="1" ref="AT149" ca="1">IFERROR(INDEX(INDEX(INDIRECT($A$2&amp;$AI149,TRUE),0),AT$2),"")</f>
        <v/>
      </c>
      <c r="AU149" s="6"/>
    </row>
    <row r="150" spans="34:47">
      <c r="AH150" s="6">
        <v>4</v>
      </c>
      <c r="AI150" s="6" t="e">
        <f t="shared" si="108"/>
        <v>#N/A</v>
      </c>
      <c r="AJ150" s="6" t="s">
        <v>32</v>
      </c>
      <c r="AK150" s="6" t="str" cm="1">
        <f t="array" aca="1" ref="AK150" ca="1">IFERROR(INDEX(INDEX(INDIRECT($A$2&amp;$AI150,TRUE),0),AK$2),"")</f>
        <v/>
      </c>
      <c r="AL150" s="6" t="str" cm="1">
        <f t="array" aca="1" ref="AL150" ca="1">IFERROR(INDEX(INDEX(INDIRECT($A$2&amp;$AI150,TRUE),0),AL$2),"")</f>
        <v/>
      </c>
      <c r="AM150" s="6" t="str" cm="1">
        <f t="array" aca="1" ref="AM150" ca="1">IFERROR(INDEX(INDEX(INDIRECT($A$2&amp;$AI150,TRUE),0),AM$2),"")</f>
        <v/>
      </c>
      <c r="AN150" s="6" t="str" cm="1">
        <f t="array" aca="1" ref="AN150" ca="1">IFERROR(INDEX(INDEX(INDIRECT($A$2&amp;$AI150,TRUE),0),AN$2),"")</f>
        <v/>
      </c>
      <c r="AO150" s="6" t="str" cm="1">
        <f t="array" aca="1" ref="AO150" ca="1">IFERROR(INDEX(INDEX(INDIRECT($A$2&amp;$AI150,TRUE),0),AO$2),"")</f>
        <v/>
      </c>
      <c r="AP150" s="6" t="str" cm="1">
        <f t="array" aca="1" ref="AP150" ca="1">IFERROR(INDEX(INDEX(INDIRECT($A$2&amp;$AI150,TRUE),0),AP$2),"")</f>
        <v/>
      </c>
      <c r="AQ150" s="6" t="str" cm="1">
        <f t="array" aca="1" ref="AQ150" ca="1">IFERROR(INDEX(INDEX(INDIRECT($A$2&amp;$AI150,TRUE),0),AQ$2),"")</f>
        <v/>
      </c>
      <c r="AR150" s="6" t="str" cm="1">
        <f t="array" aca="1" ref="AR150" ca="1">IFERROR(INDEX(INDEX(INDIRECT($A$2&amp;$AI150,TRUE),0),AR$2),"")</f>
        <v/>
      </c>
      <c r="AS150" s="6" t="str" cm="1">
        <f t="array" aca="1" ref="AS150" ca="1">IFERROR(INDEX(INDEX(INDIRECT($A$2&amp;$AI150,TRUE),0),AS$2),"")</f>
        <v/>
      </c>
      <c r="AT150" s="6" t="str" cm="1">
        <f t="array" aca="1" ref="AT150" ca="1">IFERROR(INDEX(INDEX(INDIRECT($A$2&amp;$AI150,TRUE),0),AT$2),"")</f>
        <v/>
      </c>
      <c r="AU150" s="6"/>
    </row>
    <row r="151" spans="34:47">
      <c r="AH151" s="6">
        <v>5</v>
      </c>
      <c r="AI151" s="6" t="e">
        <f t="shared" si="108"/>
        <v>#N/A</v>
      </c>
      <c r="AJ151" s="6" t="s">
        <v>37</v>
      </c>
      <c r="AK151" s="6" t="str" cm="1">
        <f t="array" aca="1" ref="AK151" ca="1">IFERROR(INDEX(INDEX(INDIRECT($A$2&amp;$AI151,TRUE),0),AK$2),"")</f>
        <v/>
      </c>
      <c r="AL151" s="6" t="str" cm="1">
        <f t="array" aca="1" ref="AL151" ca="1">IFERROR(INDEX(INDEX(INDIRECT($A$2&amp;$AI151,TRUE),0),AL$2),"")</f>
        <v/>
      </c>
      <c r="AM151" s="6" t="str" cm="1">
        <f t="array" aca="1" ref="AM151" ca="1">IFERROR(INDEX(INDEX(INDIRECT($A$2&amp;$AI151,TRUE),0),AM$2),"")</f>
        <v/>
      </c>
      <c r="AN151" s="6" t="str" cm="1">
        <f t="array" aca="1" ref="AN151" ca="1">IFERROR(INDEX(INDEX(INDIRECT($A$2&amp;$AI151,TRUE),0),AN$2),"")</f>
        <v/>
      </c>
      <c r="AO151" s="6" t="str" cm="1">
        <f t="array" aca="1" ref="AO151" ca="1">IFERROR(INDEX(INDEX(INDIRECT($A$2&amp;$AI151,TRUE),0),AO$2),"")</f>
        <v/>
      </c>
      <c r="AP151" s="6" t="str" cm="1">
        <f t="array" aca="1" ref="AP151" ca="1">IFERROR(INDEX(INDEX(INDIRECT($A$2&amp;$AI151,TRUE),0),AP$2),"")</f>
        <v/>
      </c>
      <c r="AQ151" s="6" t="str" cm="1">
        <f t="array" aca="1" ref="AQ151" ca="1">IFERROR(INDEX(INDEX(INDIRECT($A$2&amp;$AI151,TRUE),0),AQ$2),"")</f>
        <v/>
      </c>
      <c r="AR151" s="6" t="str" cm="1">
        <f t="array" aca="1" ref="AR151" ca="1">IFERROR(INDEX(INDEX(INDIRECT($A$2&amp;$AI151,TRUE),0),AR$2),"")</f>
        <v/>
      </c>
      <c r="AS151" s="6" t="str" cm="1">
        <f t="array" aca="1" ref="AS151" ca="1">IFERROR(INDEX(INDEX(INDIRECT($A$2&amp;$AI151,TRUE),0),AS$2),"")</f>
        <v/>
      </c>
      <c r="AT151" s="6" t="str" cm="1">
        <f t="array" aca="1" ref="AT151" ca="1">IFERROR(INDEX(INDEX(INDIRECT($A$2&amp;$AI151,TRUE),0),AT$2),"")</f>
        <v/>
      </c>
      <c r="AU151" s="6"/>
    </row>
    <row r="152" spans="34:47">
      <c r="AH152" s="6">
        <v>6</v>
      </c>
      <c r="AI152" s="6" t="e">
        <f t="shared" si="108"/>
        <v>#N/A</v>
      </c>
      <c r="AJ152" s="6" t="s">
        <v>41</v>
      </c>
      <c r="AK152" s="6" t="str" cm="1">
        <f t="array" aca="1" ref="AK152" ca="1">IFERROR(INDEX(INDEX(INDIRECT($A$2&amp;$AI152,TRUE),0),AK$2),"")</f>
        <v/>
      </c>
      <c r="AL152" s="6" t="str" cm="1">
        <f t="array" aca="1" ref="AL152" ca="1">IFERROR(INDEX(INDEX(INDIRECT($A$2&amp;$AI152,TRUE),0),AL$2),"")</f>
        <v/>
      </c>
      <c r="AM152" s="6" t="str" cm="1">
        <f t="array" aca="1" ref="AM152" ca="1">IFERROR(INDEX(INDEX(INDIRECT($A$2&amp;$AI152,TRUE),0),AM$2),"")</f>
        <v/>
      </c>
      <c r="AN152" s="6" t="str" cm="1">
        <f t="array" aca="1" ref="AN152" ca="1">IFERROR(INDEX(INDEX(INDIRECT($A$2&amp;$AI152,TRUE),0),AN$2),"")</f>
        <v/>
      </c>
      <c r="AO152" s="6" t="str" cm="1">
        <f t="array" aca="1" ref="AO152" ca="1">IFERROR(INDEX(INDEX(INDIRECT($A$2&amp;$AI152,TRUE),0),AO$2),"")</f>
        <v/>
      </c>
      <c r="AP152" s="6" t="str" cm="1">
        <f t="array" aca="1" ref="AP152" ca="1">IFERROR(INDEX(INDEX(INDIRECT($A$2&amp;$AI152,TRUE),0),AP$2),"")</f>
        <v/>
      </c>
      <c r="AQ152" s="6" t="str" cm="1">
        <f t="array" aca="1" ref="AQ152" ca="1">IFERROR(INDEX(INDEX(INDIRECT($A$2&amp;$AI152,TRUE),0),AQ$2),"")</f>
        <v/>
      </c>
      <c r="AR152" s="6" t="str" cm="1">
        <f t="array" aca="1" ref="AR152" ca="1">IFERROR(INDEX(INDEX(INDIRECT($A$2&amp;$AI152,TRUE),0),AR$2),"")</f>
        <v/>
      </c>
      <c r="AS152" s="6" t="str" cm="1">
        <f t="array" aca="1" ref="AS152" ca="1">IFERROR(INDEX(INDEX(INDIRECT($A$2&amp;$AI152,TRUE),0),AS$2),"")</f>
        <v/>
      </c>
      <c r="AT152" s="6" t="str" cm="1">
        <f t="array" aca="1" ref="AT152" ca="1">IFERROR(INDEX(INDEX(INDIRECT($A$2&amp;$AI152,TRUE),0),AT$2),"")</f>
        <v/>
      </c>
      <c r="AU152" s="6"/>
    </row>
    <row r="153" spans="34:47">
      <c r="AI153" t="s">
        <v>63</v>
      </c>
      <c r="AJ153" s="8">
        <f>AJ146-1</f>
        <v>-21</v>
      </c>
      <c r="AK153" s="9" t="e">
        <f>" ("&amp;CHOOSE(WEEKDAY(AJ153,1),"日","月","火","水","木","金","土")&amp;")"</f>
        <v>#NUM!</v>
      </c>
      <c r="AL153" s="10"/>
      <c r="AM153" s="10"/>
      <c r="AN153" s="10"/>
      <c r="AO153" s="10"/>
      <c r="AP153" s="10"/>
      <c r="AQ153" s="10"/>
      <c r="AR153" s="10"/>
      <c r="AS153" s="10"/>
      <c r="AT153" s="10"/>
      <c r="AU153" s="6"/>
    </row>
    <row r="154" spans="34:47">
      <c r="AH154" s="6">
        <v>1</v>
      </c>
      <c r="AI154" s="6" t="e">
        <f>INDEX($T$4:$AE$32,MATCH($AJ$153,$B$4:$B$34,0),MATCH($AJ154,$T$3:$AE$3,0))</f>
        <v>#N/A</v>
      </c>
      <c r="AJ154" s="6" t="s">
        <v>19</v>
      </c>
      <c r="AK154" s="6" t="str" cm="1">
        <f t="array" aca="1" ref="AK154" ca="1">IFERROR(INDEX(INDEX(INDIRECT($A$2&amp;$AI154,TRUE),0),AK$2),"")</f>
        <v/>
      </c>
      <c r="AL154" s="6" t="str" cm="1">
        <f t="array" aca="1" ref="AL154" ca="1">IFERROR(INDEX(INDEX(INDIRECT($A$2&amp;$AI154,TRUE),0),AL$2),"")</f>
        <v/>
      </c>
      <c r="AM154" s="6" t="str" cm="1">
        <f t="array" aca="1" ref="AM154" ca="1">IFERROR(INDEX(INDEX(INDIRECT($A$2&amp;$AI154,TRUE),0),AM$2),"")</f>
        <v/>
      </c>
      <c r="AN154" s="6" t="str" cm="1">
        <f t="array" aca="1" ref="AN154" ca="1">IFERROR(INDEX(INDEX(INDIRECT($A$2&amp;$AI154,TRUE),0),AN$2),"")</f>
        <v/>
      </c>
      <c r="AO154" s="6" t="str" cm="1">
        <f t="array" aca="1" ref="AO154" ca="1">IFERROR(INDEX(INDEX(INDIRECT($A$2&amp;$AI154,TRUE),0),AO$2),"")</f>
        <v/>
      </c>
      <c r="AP154" s="6" t="str" cm="1">
        <f t="array" aca="1" ref="AP154" ca="1">IFERROR(INDEX(INDEX(INDIRECT($A$2&amp;$AI154,TRUE),0),AP$2),"")</f>
        <v/>
      </c>
      <c r="AQ154" s="6" t="str" cm="1">
        <f t="array" aca="1" ref="AQ154" ca="1">IFERROR(INDEX(INDEX(INDIRECT($A$2&amp;$AI154,TRUE),0),AQ$2),"")</f>
        <v/>
      </c>
      <c r="AR154" s="6" t="str" cm="1">
        <f t="array" aca="1" ref="AR154" ca="1">IFERROR(INDEX(INDEX(INDIRECT($A$2&amp;$AI154,TRUE),0),AR$2),"")</f>
        <v/>
      </c>
      <c r="AS154" s="6" t="str" cm="1">
        <f t="array" aca="1" ref="AS154" ca="1">IFERROR(INDEX(INDEX(INDIRECT($A$2&amp;$AI154,TRUE),0),AS$2),"")</f>
        <v/>
      </c>
      <c r="AT154" s="6" t="str" cm="1">
        <f t="array" aca="1" ref="AT154" ca="1">IFERROR(INDEX(INDEX(INDIRECT($A$2&amp;$AI154,TRUE),0),AT$2),"")</f>
        <v/>
      </c>
      <c r="AU154" s="6"/>
    </row>
    <row r="155" spans="34:47">
      <c r="AH155" s="6">
        <v>2</v>
      </c>
      <c r="AI155" s="6" t="e">
        <f t="shared" ref="AI155:AI159" si="109">INDEX($T$4:$AE$32,MATCH($AJ$153,$B$4:$B$34,0),MATCH($AJ155,$T$3:$AE$3,0))</f>
        <v>#N/A</v>
      </c>
      <c r="AJ155" s="6" t="s">
        <v>24</v>
      </c>
      <c r="AK155" s="6" t="str" cm="1">
        <f t="array" aca="1" ref="AK155" ca="1">IFERROR(INDEX(INDEX(INDIRECT($A$2&amp;$AI155,TRUE),0),AK$2),"")</f>
        <v/>
      </c>
      <c r="AL155" s="6" t="str" cm="1">
        <f t="array" aca="1" ref="AL155" ca="1">IFERROR(INDEX(INDEX(INDIRECT($A$2&amp;$AI155,TRUE),0),AL$2),"")</f>
        <v/>
      </c>
      <c r="AM155" s="6" t="str" cm="1">
        <f t="array" aca="1" ref="AM155" ca="1">IFERROR(INDEX(INDEX(INDIRECT($A$2&amp;$AI155,TRUE),0),AM$2),"")</f>
        <v/>
      </c>
      <c r="AN155" s="6" t="str" cm="1">
        <f t="array" aca="1" ref="AN155" ca="1">IFERROR(INDEX(INDEX(INDIRECT($A$2&amp;$AI155,TRUE),0),AN$2),"")</f>
        <v/>
      </c>
      <c r="AO155" s="6" t="str" cm="1">
        <f t="array" aca="1" ref="AO155" ca="1">IFERROR(INDEX(INDEX(INDIRECT($A$2&amp;$AI155,TRUE),0),AO$2),"")</f>
        <v/>
      </c>
      <c r="AP155" s="6" t="str" cm="1">
        <f t="array" aca="1" ref="AP155" ca="1">IFERROR(INDEX(INDEX(INDIRECT($A$2&amp;$AI155,TRUE),0),AP$2),"")</f>
        <v/>
      </c>
      <c r="AQ155" s="6" t="str" cm="1">
        <f t="array" aca="1" ref="AQ155" ca="1">IFERROR(INDEX(INDEX(INDIRECT($A$2&amp;$AI155,TRUE),0),AQ$2),"")</f>
        <v/>
      </c>
      <c r="AR155" s="6" t="str" cm="1">
        <f t="array" aca="1" ref="AR155" ca="1">IFERROR(INDEX(INDEX(INDIRECT($A$2&amp;$AI155,TRUE),0),AR$2),"")</f>
        <v/>
      </c>
      <c r="AS155" s="6" t="str" cm="1">
        <f t="array" aca="1" ref="AS155" ca="1">IFERROR(INDEX(INDEX(INDIRECT($A$2&amp;$AI155,TRUE),0),AS$2),"")</f>
        <v/>
      </c>
      <c r="AT155" s="6" t="str" cm="1">
        <f t="array" aca="1" ref="AT155" ca="1">IFERROR(INDEX(INDEX(INDIRECT($A$2&amp;$AI155,TRUE),0),AT$2),"")</f>
        <v/>
      </c>
      <c r="AU155" s="6"/>
    </row>
    <row r="156" spans="34:47">
      <c r="AH156" s="6">
        <v>3</v>
      </c>
      <c r="AI156" s="6" t="e">
        <f t="shared" si="109"/>
        <v>#N/A</v>
      </c>
      <c r="AJ156" s="6" t="s">
        <v>11</v>
      </c>
      <c r="AK156" s="6" t="str" cm="1">
        <f t="array" aca="1" ref="AK156" ca="1">IFERROR(INDEX(INDEX(INDIRECT($A$2&amp;$AI156,TRUE),0),AK$2),"")</f>
        <v/>
      </c>
      <c r="AL156" s="6" t="str" cm="1">
        <f t="array" aca="1" ref="AL156" ca="1">IFERROR(INDEX(INDEX(INDIRECT($A$2&amp;$AI156,TRUE),0),AL$2),"")</f>
        <v/>
      </c>
      <c r="AM156" s="6" t="str" cm="1">
        <f t="array" aca="1" ref="AM156" ca="1">IFERROR(INDEX(INDEX(INDIRECT($A$2&amp;$AI156,TRUE),0),AM$2),"")</f>
        <v/>
      </c>
      <c r="AN156" s="6" t="str" cm="1">
        <f t="array" aca="1" ref="AN156" ca="1">IFERROR(INDEX(INDEX(INDIRECT($A$2&amp;$AI156,TRUE),0),AN$2),"")</f>
        <v/>
      </c>
      <c r="AO156" s="6" t="str" cm="1">
        <f t="array" aca="1" ref="AO156" ca="1">IFERROR(INDEX(INDEX(INDIRECT($A$2&amp;$AI156,TRUE),0),AO$2),"")</f>
        <v/>
      </c>
      <c r="AP156" s="6" t="str" cm="1">
        <f t="array" aca="1" ref="AP156" ca="1">IFERROR(INDEX(INDEX(INDIRECT($A$2&amp;$AI156,TRUE),0),AP$2),"")</f>
        <v/>
      </c>
      <c r="AQ156" s="6" t="str" cm="1">
        <f t="array" aca="1" ref="AQ156" ca="1">IFERROR(INDEX(INDEX(INDIRECT($A$2&amp;$AI156,TRUE),0),AQ$2),"")</f>
        <v/>
      </c>
      <c r="AR156" s="6" t="str" cm="1">
        <f t="array" aca="1" ref="AR156" ca="1">IFERROR(INDEX(INDEX(INDIRECT($A$2&amp;$AI156,TRUE),0),AR$2),"")</f>
        <v/>
      </c>
      <c r="AS156" s="6" t="str" cm="1">
        <f t="array" aca="1" ref="AS156" ca="1">IFERROR(INDEX(INDEX(INDIRECT($A$2&amp;$AI156,TRUE),0),AS$2),"")</f>
        <v/>
      </c>
      <c r="AT156" s="6" t="str" cm="1">
        <f t="array" aca="1" ref="AT156" ca="1">IFERROR(INDEX(INDEX(INDIRECT($A$2&amp;$AI156,TRUE),0),AT$2),"")</f>
        <v/>
      </c>
      <c r="AU156" s="6"/>
    </row>
    <row r="157" spans="34:47">
      <c r="AH157" s="6">
        <v>4</v>
      </c>
      <c r="AI157" s="6" t="e">
        <f t="shared" si="109"/>
        <v>#N/A</v>
      </c>
      <c r="AJ157" s="6" t="s">
        <v>32</v>
      </c>
      <c r="AK157" s="6" t="str" cm="1">
        <f t="array" aca="1" ref="AK157" ca="1">IFERROR(INDEX(INDEX(INDIRECT($A$2&amp;$AI157,TRUE),0),AK$2),"")</f>
        <v/>
      </c>
      <c r="AL157" s="6" t="str" cm="1">
        <f t="array" aca="1" ref="AL157" ca="1">IFERROR(INDEX(INDEX(INDIRECT($A$2&amp;$AI157,TRUE),0),AL$2),"")</f>
        <v/>
      </c>
      <c r="AM157" s="6" t="str" cm="1">
        <f t="array" aca="1" ref="AM157" ca="1">IFERROR(INDEX(INDEX(INDIRECT($A$2&amp;$AI157,TRUE),0),AM$2),"")</f>
        <v/>
      </c>
      <c r="AN157" s="6" t="str" cm="1">
        <f t="array" aca="1" ref="AN157" ca="1">IFERROR(INDEX(INDEX(INDIRECT($A$2&amp;$AI157,TRUE),0),AN$2),"")</f>
        <v/>
      </c>
      <c r="AO157" s="6" t="str" cm="1">
        <f t="array" aca="1" ref="AO157" ca="1">IFERROR(INDEX(INDEX(INDIRECT($A$2&amp;$AI157,TRUE),0),AO$2),"")</f>
        <v/>
      </c>
      <c r="AP157" s="6" t="str" cm="1">
        <f t="array" aca="1" ref="AP157" ca="1">IFERROR(INDEX(INDEX(INDIRECT($A$2&amp;$AI157,TRUE),0),AP$2),"")</f>
        <v/>
      </c>
      <c r="AQ157" s="6" t="str" cm="1">
        <f t="array" aca="1" ref="AQ157" ca="1">IFERROR(INDEX(INDEX(INDIRECT($A$2&amp;$AI157,TRUE),0),AQ$2),"")</f>
        <v/>
      </c>
      <c r="AR157" s="6" t="str" cm="1">
        <f t="array" aca="1" ref="AR157" ca="1">IFERROR(INDEX(INDEX(INDIRECT($A$2&amp;$AI157,TRUE),0),AR$2),"")</f>
        <v/>
      </c>
      <c r="AS157" s="6" t="str" cm="1">
        <f t="array" aca="1" ref="AS157" ca="1">IFERROR(INDEX(INDEX(INDIRECT($A$2&amp;$AI157,TRUE),0),AS$2),"")</f>
        <v/>
      </c>
      <c r="AT157" s="6" t="str" cm="1">
        <f t="array" aca="1" ref="AT157" ca="1">IFERROR(INDEX(INDEX(INDIRECT($A$2&amp;$AI157,TRUE),0),AT$2),"")</f>
        <v/>
      </c>
      <c r="AU157" s="6"/>
    </row>
    <row r="158" spans="34:47">
      <c r="AH158" s="6">
        <v>5</v>
      </c>
      <c r="AI158" s="6" t="e">
        <f t="shared" si="109"/>
        <v>#N/A</v>
      </c>
      <c r="AJ158" s="6" t="s">
        <v>37</v>
      </c>
      <c r="AK158" s="6" t="str" cm="1">
        <f t="array" aca="1" ref="AK158" ca="1">IFERROR(INDEX(INDEX(INDIRECT($A$2&amp;$AI158,TRUE),0),AK$2),"")</f>
        <v/>
      </c>
      <c r="AL158" s="6" t="str" cm="1">
        <f t="array" aca="1" ref="AL158" ca="1">IFERROR(INDEX(INDEX(INDIRECT($A$2&amp;$AI158,TRUE),0),AL$2),"")</f>
        <v/>
      </c>
      <c r="AM158" s="6" t="str" cm="1">
        <f t="array" aca="1" ref="AM158" ca="1">IFERROR(INDEX(INDEX(INDIRECT($A$2&amp;$AI158,TRUE),0),AM$2),"")</f>
        <v/>
      </c>
      <c r="AN158" s="6" t="str" cm="1">
        <f t="array" aca="1" ref="AN158" ca="1">IFERROR(INDEX(INDEX(INDIRECT($A$2&amp;$AI158,TRUE),0),AN$2),"")</f>
        <v/>
      </c>
      <c r="AO158" s="6" t="str" cm="1">
        <f t="array" aca="1" ref="AO158" ca="1">IFERROR(INDEX(INDEX(INDIRECT($A$2&amp;$AI158,TRUE),0),AO$2),"")</f>
        <v/>
      </c>
      <c r="AP158" s="6" t="str" cm="1">
        <f t="array" aca="1" ref="AP158" ca="1">IFERROR(INDEX(INDEX(INDIRECT($A$2&amp;$AI158,TRUE),0),AP$2),"")</f>
        <v/>
      </c>
      <c r="AQ158" s="6" t="str" cm="1">
        <f t="array" aca="1" ref="AQ158" ca="1">IFERROR(INDEX(INDEX(INDIRECT($A$2&amp;$AI158,TRUE),0),AQ$2),"")</f>
        <v/>
      </c>
      <c r="AR158" s="6" t="str" cm="1">
        <f t="array" aca="1" ref="AR158" ca="1">IFERROR(INDEX(INDEX(INDIRECT($A$2&amp;$AI158,TRUE),0),AR$2),"")</f>
        <v/>
      </c>
      <c r="AS158" s="6" t="str" cm="1">
        <f t="array" aca="1" ref="AS158" ca="1">IFERROR(INDEX(INDEX(INDIRECT($A$2&amp;$AI158,TRUE),0),AS$2),"")</f>
        <v/>
      </c>
      <c r="AT158" s="6" t="str" cm="1">
        <f t="array" aca="1" ref="AT158" ca="1">IFERROR(INDEX(INDEX(INDIRECT($A$2&amp;$AI158,TRUE),0),AT$2),"")</f>
        <v/>
      </c>
      <c r="AU158" s="6"/>
    </row>
    <row r="159" spans="34:47">
      <c r="AH159" s="6">
        <v>6</v>
      </c>
      <c r="AI159" s="6" t="e">
        <f t="shared" si="109"/>
        <v>#N/A</v>
      </c>
      <c r="AJ159" s="6" t="s">
        <v>41</v>
      </c>
      <c r="AK159" s="6" t="str" cm="1">
        <f t="array" aca="1" ref="AK159" ca="1">IFERROR(INDEX(INDEX(INDIRECT($A$2&amp;$AI159,TRUE),0),AK$2),"")</f>
        <v/>
      </c>
      <c r="AL159" s="6" t="str" cm="1">
        <f t="array" aca="1" ref="AL159" ca="1">IFERROR(INDEX(INDEX(INDIRECT($A$2&amp;$AI159,TRUE),0),AL$2),"")</f>
        <v/>
      </c>
      <c r="AM159" s="6" t="str" cm="1">
        <f t="array" aca="1" ref="AM159" ca="1">IFERROR(INDEX(INDEX(INDIRECT($A$2&amp;$AI159,TRUE),0),AM$2),"")</f>
        <v/>
      </c>
      <c r="AN159" s="6" t="str" cm="1">
        <f t="array" aca="1" ref="AN159" ca="1">IFERROR(INDEX(INDEX(INDIRECT($A$2&amp;$AI159,TRUE),0),AN$2),"")</f>
        <v/>
      </c>
      <c r="AO159" s="6" t="str" cm="1">
        <f t="array" aca="1" ref="AO159" ca="1">IFERROR(INDEX(INDEX(INDIRECT($A$2&amp;$AI159,TRUE),0),AO$2),"")</f>
        <v/>
      </c>
      <c r="AP159" s="6" t="str" cm="1">
        <f t="array" aca="1" ref="AP159" ca="1">IFERROR(INDEX(INDEX(INDIRECT($A$2&amp;$AI159,TRUE),0),AP$2),"")</f>
        <v/>
      </c>
      <c r="AQ159" s="6" t="str" cm="1">
        <f t="array" aca="1" ref="AQ159" ca="1">IFERROR(INDEX(INDEX(INDIRECT($A$2&amp;$AI159,TRUE),0),AQ$2),"")</f>
        <v/>
      </c>
      <c r="AR159" s="6" t="str" cm="1">
        <f t="array" aca="1" ref="AR159" ca="1">IFERROR(INDEX(INDEX(INDIRECT($A$2&amp;$AI159,TRUE),0),AR$2),"")</f>
        <v/>
      </c>
      <c r="AS159" s="6" t="str" cm="1">
        <f t="array" aca="1" ref="AS159" ca="1">IFERROR(INDEX(INDEX(INDIRECT($A$2&amp;$AI159,TRUE),0),AS$2),"")</f>
        <v/>
      </c>
      <c r="AT159" s="6" t="str" cm="1">
        <f t="array" aca="1" ref="AT159" ca="1">IFERROR(INDEX(INDEX(INDIRECT($A$2&amp;$AI159,TRUE),0),AT$2),"")</f>
        <v/>
      </c>
      <c r="AU159" s="6"/>
    </row>
    <row r="160" spans="34:47">
      <c r="AI160" t="s">
        <v>63</v>
      </c>
      <c r="AJ160" s="8">
        <f>AJ153-1</f>
        <v>-22</v>
      </c>
      <c r="AK160" s="9" t="e">
        <f>" ("&amp;CHOOSE(WEEKDAY(AJ160,1),"日","月","火","水","木","金","土")&amp;")"</f>
        <v>#NUM!</v>
      </c>
      <c r="AL160" s="10"/>
      <c r="AM160" s="10"/>
      <c r="AN160" s="10"/>
      <c r="AO160" s="10"/>
      <c r="AP160" s="10"/>
      <c r="AQ160" s="10"/>
      <c r="AR160" s="10"/>
      <c r="AS160" s="10"/>
      <c r="AT160" s="10"/>
      <c r="AU160" s="6"/>
    </row>
    <row r="161" spans="34:47">
      <c r="AH161" s="6">
        <v>1</v>
      </c>
      <c r="AI161" s="6" t="e">
        <f>INDEX($T$4:$AE$32,MATCH($AJ$160,$B$4:$B$34,0),MATCH($AJ161,$T$3:$AE$3,0))</f>
        <v>#N/A</v>
      </c>
      <c r="AJ161" s="6" t="s">
        <v>19</v>
      </c>
      <c r="AK161" s="6" t="str" cm="1">
        <f t="array" aca="1" ref="AK161" ca="1">IFERROR(INDEX(INDEX(INDIRECT($A$2&amp;$AI161,TRUE),0),AK$2),"")</f>
        <v/>
      </c>
      <c r="AL161" s="6" t="str" cm="1">
        <f t="array" aca="1" ref="AL161" ca="1">IFERROR(INDEX(INDEX(INDIRECT($A$2&amp;$AI161,TRUE),0),AL$2),"")</f>
        <v/>
      </c>
      <c r="AM161" s="6" t="str" cm="1">
        <f t="array" aca="1" ref="AM161" ca="1">IFERROR(INDEX(INDEX(INDIRECT($A$2&amp;$AI161,TRUE),0),AM$2),"")</f>
        <v/>
      </c>
      <c r="AN161" s="6" t="str" cm="1">
        <f t="array" aca="1" ref="AN161" ca="1">IFERROR(INDEX(INDEX(INDIRECT($A$2&amp;$AI161,TRUE),0),AN$2),"")</f>
        <v/>
      </c>
      <c r="AO161" s="6" t="str" cm="1">
        <f t="array" aca="1" ref="AO161" ca="1">IFERROR(INDEX(INDEX(INDIRECT($A$2&amp;$AI161,TRUE),0),AO$2),"")</f>
        <v/>
      </c>
      <c r="AP161" s="6" t="str" cm="1">
        <f t="array" aca="1" ref="AP161" ca="1">IFERROR(INDEX(INDEX(INDIRECT($A$2&amp;$AI161,TRUE),0),AP$2),"")</f>
        <v/>
      </c>
      <c r="AQ161" s="6" t="str" cm="1">
        <f t="array" aca="1" ref="AQ161" ca="1">IFERROR(INDEX(INDEX(INDIRECT($A$2&amp;$AI161,TRUE),0),AQ$2),"")</f>
        <v/>
      </c>
      <c r="AR161" s="6" t="str" cm="1">
        <f t="array" aca="1" ref="AR161" ca="1">IFERROR(INDEX(INDEX(INDIRECT($A$2&amp;$AI161,TRUE),0),AR$2),"")</f>
        <v/>
      </c>
      <c r="AS161" s="6" t="str" cm="1">
        <f t="array" aca="1" ref="AS161" ca="1">IFERROR(INDEX(INDEX(INDIRECT($A$2&amp;$AI161,TRUE),0),AS$2),"")</f>
        <v/>
      </c>
      <c r="AT161" s="6" t="str" cm="1">
        <f t="array" aca="1" ref="AT161" ca="1">IFERROR(INDEX(INDEX(INDIRECT($A$2&amp;$AI161,TRUE),0),AT$2),"")</f>
        <v/>
      </c>
      <c r="AU161" s="6"/>
    </row>
    <row r="162" spans="34:47">
      <c r="AH162" s="6">
        <v>2</v>
      </c>
      <c r="AI162" s="6" t="e">
        <f t="shared" ref="AI162:AI166" si="110">INDEX($T$4:$AE$32,MATCH($AJ$160,$B$4:$B$34,0),MATCH($AJ162,$T$3:$AE$3,0))</f>
        <v>#N/A</v>
      </c>
      <c r="AJ162" s="6" t="s">
        <v>24</v>
      </c>
      <c r="AK162" s="6" t="str" cm="1">
        <f t="array" aca="1" ref="AK162" ca="1">IFERROR(INDEX(INDEX(INDIRECT($A$2&amp;$AI162,TRUE),0),AK$2),"")</f>
        <v/>
      </c>
      <c r="AL162" s="6" t="str" cm="1">
        <f t="array" aca="1" ref="AL162" ca="1">IFERROR(INDEX(INDEX(INDIRECT($A$2&amp;$AI162,TRUE),0),AL$2),"")</f>
        <v/>
      </c>
      <c r="AM162" s="6" t="str" cm="1">
        <f t="array" aca="1" ref="AM162" ca="1">IFERROR(INDEX(INDEX(INDIRECT($A$2&amp;$AI162,TRUE),0),AM$2),"")</f>
        <v/>
      </c>
      <c r="AN162" s="6" t="str" cm="1">
        <f t="array" aca="1" ref="AN162" ca="1">IFERROR(INDEX(INDEX(INDIRECT($A$2&amp;$AI162,TRUE),0),AN$2),"")</f>
        <v/>
      </c>
      <c r="AO162" s="6" t="str" cm="1">
        <f t="array" aca="1" ref="AO162" ca="1">IFERROR(INDEX(INDEX(INDIRECT($A$2&amp;$AI162,TRUE),0),AO$2),"")</f>
        <v/>
      </c>
      <c r="AP162" s="6" t="str" cm="1">
        <f t="array" aca="1" ref="AP162" ca="1">IFERROR(INDEX(INDEX(INDIRECT($A$2&amp;$AI162,TRUE),0),AP$2),"")</f>
        <v/>
      </c>
      <c r="AQ162" s="6" t="str" cm="1">
        <f t="array" aca="1" ref="AQ162" ca="1">IFERROR(INDEX(INDEX(INDIRECT($A$2&amp;$AI162,TRUE),0),AQ$2),"")</f>
        <v/>
      </c>
      <c r="AR162" s="6" t="str" cm="1">
        <f t="array" aca="1" ref="AR162" ca="1">IFERROR(INDEX(INDEX(INDIRECT($A$2&amp;$AI162,TRUE),0),AR$2),"")</f>
        <v/>
      </c>
      <c r="AS162" s="6" t="str" cm="1">
        <f t="array" aca="1" ref="AS162" ca="1">IFERROR(INDEX(INDEX(INDIRECT($A$2&amp;$AI162,TRUE),0),AS$2),"")</f>
        <v/>
      </c>
      <c r="AT162" s="6" t="str" cm="1">
        <f t="array" aca="1" ref="AT162" ca="1">IFERROR(INDEX(INDEX(INDIRECT($A$2&amp;$AI162,TRUE),0),AT$2),"")</f>
        <v/>
      </c>
      <c r="AU162" s="6"/>
    </row>
    <row r="163" spans="34:47">
      <c r="AH163" s="6">
        <v>3</v>
      </c>
      <c r="AI163" s="6" t="e">
        <f t="shared" si="110"/>
        <v>#N/A</v>
      </c>
      <c r="AJ163" s="6" t="s">
        <v>11</v>
      </c>
      <c r="AK163" s="6" t="str" cm="1">
        <f t="array" aca="1" ref="AK163" ca="1">IFERROR(INDEX(INDEX(INDIRECT($A$2&amp;$AI163,TRUE),0),AK$2),"")</f>
        <v/>
      </c>
      <c r="AL163" s="6" t="str" cm="1">
        <f t="array" aca="1" ref="AL163" ca="1">IFERROR(INDEX(INDEX(INDIRECT($A$2&amp;$AI163,TRUE),0),AL$2),"")</f>
        <v/>
      </c>
      <c r="AM163" s="6" t="str" cm="1">
        <f t="array" aca="1" ref="AM163" ca="1">IFERROR(INDEX(INDEX(INDIRECT($A$2&amp;$AI163,TRUE),0),AM$2),"")</f>
        <v/>
      </c>
      <c r="AN163" s="6" t="str" cm="1">
        <f t="array" aca="1" ref="AN163" ca="1">IFERROR(INDEX(INDEX(INDIRECT($A$2&amp;$AI163,TRUE),0),AN$2),"")</f>
        <v/>
      </c>
      <c r="AO163" s="6" t="str" cm="1">
        <f t="array" aca="1" ref="AO163" ca="1">IFERROR(INDEX(INDEX(INDIRECT($A$2&amp;$AI163,TRUE),0),AO$2),"")</f>
        <v/>
      </c>
      <c r="AP163" s="6" t="str" cm="1">
        <f t="array" aca="1" ref="AP163" ca="1">IFERROR(INDEX(INDEX(INDIRECT($A$2&amp;$AI163,TRUE),0),AP$2),"")</f>
        <v/>
      </c>
      <c r="AQ163" s="6" t="str" cm="1">
        <f t="array" aca="1" ref="AQ163" ca="1">IFERROR(INDEX(INDEX(INDIRECT($A$2&amp;$AI163,TRUE),0),AQ$2),"")</f>
        <v/>
      </c>
      <c r="AR163" s="6" t="str" cm="1">
        <f t="array" aca="1" ref="AR163" ca="1">IFERROR(INDEX(INDEX(INDIRECT($A$2&amp;$AI163,TRUE),0),AR$2),"")</f>
        <v/>
      </c>
      <c r="AS163" s="6" t="str" cm="1">
        <f t="array" aca="1" ref="AS163" ca="1">IFERROR(INDEX(INDEX(INDIRECT($A$2&amp;$AI163,TRUE),0),AS$2),"")</f>
        <v/>
      </c>
      <c r="AT163" s="6" t="str" cm="1">
        <f t="array" aca="1" ref="AT163" ca="1">IFERROR(INDEX(INDEX(INDIRECT($A$2&amp;$AI163,TRUE),0),AT$2),"")</f>
        <v/>
      </c>
      <c r="AU163" s="6"/>
    </row>
    <row r="164" spans="34:47">
      <c r="AH164" s="6">
        <v>4</v>
      </c>
      <c r="AI164" s="6" t="e">
        <f t="shared" si="110"/>
        <v>#N/A</v>
      </c>
      <c r="AJ164" s="6" t="s">
        <v>32</v>
      </c>
      <c r="AK164" s="6" t="str" cm="1">
        <f t="array" aca="1" ref="AK164" ca="1">IFERROR(INDEX(INDEX(INDIRECT($A$2&amp;$AI164,TRUE),0),AK$2),"")</f>
        <v/>
      </c>
      <c r="AL164" s="6" t="str" cm="1">
        <f t="array" aca="1" ref="AL164" ca="1">IFERROR(INDEX(INDEX(INDIRECT($A$2&amp;$AI164,TRUE),0),AL$2),"")</f>
        <v/>
      </c>
      <c r="AM164" s="6" t="str" cm="1">
        <f t="array" aca="1" ref="AM164" ca="1">IFERROR(INDEX(INDEX(INDIRECT($A$2&amp;$AI164,TRUE),0),AM$2),"")</f>
        <v/>
      </c>
      <c r="AN164" s="6" t="str" cm="1">
        <f t="array" aca="1" ref="AN164" ca="1">IFERROR(INDEX(INDEX(INDIRECT($A$2&amp;$AI164,TRUE),0),AN$2),"")</f>
        <v/>
      </c>
      <c r="AO164" s="6" t="str" cm="1">
        <f t="array" aca="1" ref="AO164" ca="1">IFERROR(INDEX(INDEX(INDIRECT($A$2&amp;$AI164,TRUE),0),AO$2),"")</f>
        <v/>
      </c>
      <c r="AP164" s="6" t="str" cm="1">
        <f t="array" aca="1" ref="AP164" ca="1">IFERROR(INDEX(INDEX(INDIRECT($A$2&amp;$AI164,TRUE),0),AP$2),"")</f>
        <v/>
      </c>
      <c r="AQ164" s="6" t="str" cm="1">
        <f t="array" aca="1" ref="AQ164" ca="1">IFERROR(INDEX(INDEX(INDIRECT($A$2&amp;$AI164,TRUE),0),AQ$2),"")</f>
        <v/>
      </c>
      <c r="AR164" s="6" t="str" cm="1">
        <f t="array" aca="1" ref="AR164" ca="1">IFERROR(INDEX(INDEX(INDIRECT($A$2&amp;$AI164,TRUE),0),AR$2),"")</f>
        <v/>
      </c>
      <c r="AS164" s="6" t="str" cm="1">
        <f t="array" aca="1" ref="AS164" ca="1">IFERROR(INDEX(INDEX(INDIRECT($A$2&amp;$AI164,TRUE),0),AS$2),"")</f>
        <v/>
      </c>
      <c r="AT164" s="6" t="str" cm="1">
        <f t="array" aca="1" ref="AT164" ca="1">IFERROR(INDEX(INDEX(INDIRECT($A$2&amp;$AI164,TRUE),0),AT$2),"")</f>
        <v/>
      </c>
      <c r="AU164" s="6"/>
    </row>
    <row r="165" spans="34:47">
      <c r="AH165" s="6">
        <v>5</v>
      </c>
      <c r="AI165" s="6" t="e">
        <f t="shared" si="110"/>
        <v>#N/A</v>
      </c>
      <c r="AJ165" s="6" t="s">
        <v>37</v>
      </c>
      <c r="AK165" s="6" t="str" cm="1">
        <f t="array" aca="1" ref="AK165" ca="1">IFERROR(INDEX(INDEX(INDIRECT($A$2&amp;$AI165,TRUE),0),AK$2),"")</f>
        <v/>
      </c>
      <c r="AL165" s="6" t="str" cm="1">
        <f t="array" aca="1" ref="AL165" ca="1">IFERROR(INDEX(INDEX(INDIRECT($A$2&amp;$AI165,TRUE),0),AL$2),"")</f>
        <v/>
      </c>
      <c r="AM165" s="6" t="str" cm="1">
        <f t="array" aca="1" ref="AM165" ca="1">IFERROR(INDEX(INDEX(INDIRECT($A$2&amp;$AI165,TRUE),0),AM$2),"")</f>
        <v/>
      </c>
      <c r="AN165" s="6" t="str" cm="1">
        <f t="array" aca="1" ref="AN165" ca="1">IFERROR(INDEX(INDEX(INDIRECT($A$2&amp;$AI165,TRUE),0),AN$2),"")</f>
        <v/>
      </c>
      <c r="AO165" s="6" t="str" cm="1">
        <f t="array" aca="1" ref="AO165" ca="1">IFERROR(INDEX(INDEX(INDIRECT($A$2&amp;$AI165,TRUE),0),AO$2),"")</f>
        <v/>
      </c>
      <c r="AP165" s="6" t="str" cm="1">
        <f t="array" aca="1" ref="AP165" ca="1">IFERROR(INDEX(INDEX(INDIRECT($A$2&amp;$AI165,TRUE),0),AP$2),"")</f>
        <v/>
      </c>
      <c r="AQ165" s="6" t="str" cm="1">
        <f t="array" aca="1" ref="AQ165" ca="1">IFERROR(INDEX(INDEX(INDIRECT($A$2&amp;$AI165,TRUE),0),AQ$2),"")</f>
        <v/>
      </c>
      <c r="AR165" s="6" t="str" cm="1">
        <f t="array" aca="1" ref="AR165" ca="1">IFERROR(INDEX(INDEX(INDIRECT($A$2&amp;$AI165,TRUE),0),AR$2),"")</f>
        <v/>
      </c>
      <c r="AS165" s="6" t="str" cm="1">
        <f t="array" aca="1" ref="AS165" ca="1">IFERROR(INDEX(INDEX(INDIRECT($A$2&amp;$AI165,TRUE),0),AS$2),"")</f>
        <v/>
      </c>
      <c r="AT165" s="6" t="str" cm="1">
        <f t="array" aca="1" ref="AT165" ca="1">IFERROR(INDEX(INDEX(INDIRECT($A$2&amp;$AI165,TRUE),0),AT$2),"")</f>
        <v/>
      </c>
      <c r="AU165" s="6"/>
    </row>
    <row r="166" spans="34:47">
      <c r="AH166" s="6">
        <v>6</v>
      </c>
      <c r="AI166" s="6" t="e">
        <f t="shared" si="110"/>
        <v>#N/A</v>
      </c>
      <c r="AJ166" s="6" t="s">
        <v>41</v>
      </c>
      <c r="AK166" s="6" t="str" cm="1">
        <f t="array" aca="1" ref="AK166" ca="1">IFERROR(INDEX(INDEX(INDIRECT($A$2&amp;$AI166,TRUE),0),AK$2),"")</f>
        <v/>
      </c>
      <c r="AL166" s="6" t="str" cm="1">
        <f t="array" aca="1" ref="AL166" ca="1">IFERROR(INDEX(INDEX(INDIRECT($A$2&amp;$AI166,TRUE),0),AL$2),"")</f>
        <v/>
      </c>
      <c r="AM166" s="6" t="str" cm="1">
        <f t="array" aca="1" ref="AM166" ca="1">IFERROR(INDEX(INDEX(INDIRECT($A$2&amp;$AI166,TRUE),0),AM$2),"")</f>
        <v/>
      </c>
      <c r="AN166" s="6" t="str" cm="1">
        <f t="array" aca="1" ref="AN166" ca="1">IFERROR(INDEX(INDEX(INDIRECT($A$2&amp;$AI166,TRUE),0),AN$2),"")</f>
        <v/>
      </c>
      <c r="AO166" s="6" t="str" cm="1">
        <f t="array" aca="1" ref="AO166" ca="1">IFERROR(INDEX(INDEX(INDIRECT($A$2&amp;$AI166,TRUE),0),AO$2),"")</f>
        <v/>
      </c>
      <c r="AP166" s="6" t="str" cm="1">
        <f t="array" aca="1" ref="AP166" ca="1">IFERROR(INDEX(INDEX(INDIRECT($A$2&amp;$AI166,TRUE),0),AP$2),"")</f>
        <v/>
      </c>
      <c r="AQ166" s="6" t="str" cm="1">
        <f t="array" aca="1" ref="AQ166" ca="1">IFERROR(INDEX(INDEX(INDIRECT($A$2&amp;$AI166,TRUE),0),AQ$2),"")</f>
        <v/>
      </c>
      <c r="AR166" s="6" t="str" cm="1">
        <f t="array" aca="1" ref="AR166" ca="1">IFERROR(INDEX(INDEX(INDIRECT($A$2&amp;$AI166,TRUE),0),AR$2),"")</f>
        <v/>
      </c>
      <c r="AS166" s="6" t="str" cm="1">
        <f t="array" aca="1" ref="AS166" ca="1">IFERROR(INDEX(INDEX(INDIRECT($A$2&amp;$AI166,TRUE),0),AS$2),"")</f>
        <v/>
      </c>
      <c r="AT166" s="6" t="str" cm="1">
        <f t="array" aca="1" ref="AT166" ca="1">IFERROR(INDEX(INDEX(INDIRECT($A$2&amp;$AI166,TRUE),0),AT$2),"")</f>
        <v/>
      </c>
      <c r="AU166" s="6"/>
    </row>
    <row r="167" spans="34:47">
      <c r="AI167" t="s">
        <v>63</v>
      </c>
      <c r="AJ167" s="8">
        <f>AJ160-1</f>
        <v>-23</v>
      </c>
      <c r="AK167" s="9" t="e">
        <f>" ("&amp;CHOOSE(WEEKDAY(AJ167,1),"日","月","火","水","木","金","土")&amp;")"</f>
        <v>#NUM!</v>
      </c>
      <c r="AL167" s="10"/>
      <c r="AM167" s="10"/>
      <c r="AN167" s="10"/>
      <c r="AO167" s="10"/>
      <c r="AP167" s="10"/>
      <c r="AQ167" s="10"/>
      <c r="AR167" s="10"/>
      <c r="AS167" s="10"/>
      <c r="AT167" s="10"/>
      <c r="AU167" s="6"/>
    </row>
    <row r="168" spans="34:47">
      <c r="AH168" s="6">
        <v>1</v>
      </c>
      <c r="AI168" s="6" t="e">
        <f>INDEX($T$4:$AE$32,MATCH($AJ$167,$B$4:$B$34,0),MATCH($AJ168,$T$3:$AE$3,0))</f>
        <v>#N/A</v>
      </c>
      <c r="AJ168" s="6" t="s">
        <v>19</v>
      </c>
      <c r="AK168" s="6" t="str" cm="1">
        <f t="array" aca="1" ref="AK168" ca="1">IFERROR(INDEX(INDEX(INDIRECT($A$2&amp;$AI168,TRUE),0),AK$2),"")</f>
        <v/>
      </c>
      <c r="AL168" s="6" t="str" cm="1">
        <f t="array" aca="1" ref="AL168" ca="1">IFERROR(INDEX(INDEX(INDIRECT($A$2&amp;$AI168,TRUE),0),AL$2),"")</f>
        <v/>
      </c>
      <c r="AM168" s="6" t="str" cm="1">
        <f t="array" aca="1" ref="AM168" ca="1">IFERROR(INDEX(INDEX(INDIRECT($A$2&amp;$AI168,TRUE),0),AM$2),"")</f>
        <v/>
      </c>
      <c r="AN168" s="6" t="str" cm="1">
        <f t="array" aca="1" ref="AN168" ca="1">IFERROR(INDEX(INDEX(INDIRECT($A$2&amp;$AI168,TRUE),0),AN$2),"")</f>
        <v/>
      </c>
      <c r="AO168" s="6" t="str" cm="1">
        <f t="array" aca="1" ref="AO168" ca="1">IFERROR(INDEX(INDEX(INDIRECT($A$2&amp;$AI168,TRUE),0),AO$2),"")</f>
        <v/>
      </c>
      <c r="AP168" s="6" t="str" cm="1">
        <f t="array" aca="1" ref="AP168" ca="1">IFERROR(INDEX(INDEX(INDIRECT($A$2&amp;$AI168,TRUE),0),AP$2),"")</f>
        <v/>
      </c>
      <c r="AQ168" s="6" t="str" cm="1">
        <f t="array" aca="1" ref="AQ168" ca="1">IFERROR(INDEX(INDEX(INDIRECT($A$2&amp;$AI168,TRUE),0),AQ$2),"")</f>
        <v/>
      </c>
      <c r="AR168" s="6" t="str" cm="1">
        <f t="array" aca="1" ref="AR168" ca="1">IFERROR(INDEX(INDEX(INDIRECT($A$2&amp;$AI168,TRUE),0),AR$2),"")</f>
        <v/>
      </c>
      <c r="AS168" s="6" t="str" cm="1">
        <f t="array" aca="1" ref="AS168" ca="1">IFERROR(INDEX(INDEX(INDIRECT($A$2&amp;$AI168,TRUE),0),AS$2),"")</f>
        <v/>
      </c>
      <c r="AT168" s="6" t="str" cm="1">
        <f t="array" aca="1" ref="AT168" ca="1">IFERROR(INDEX(INDEX(INDIRECT($A$2&amp;$AI168,TRUE),0),AT$2),"")</f>
        <v/>
      </c>
      <c r="AU168" s="6"/>
    </row>
    <row r="169" spans="34:47">
      <c r="AH169" s="6">
        <v>2</v>
      </c>
      <c r="AI169" s="6" t="e">
        <f t="shared" ref="AI169:AI173" si="111">INDEX($T$4:$AE$32,MATCH($AJ$167,$B$4:$B$34,0),MATCH($AJ169,$T$3:$AE$3,0))</f>
        <v>#N/A</v>
      </c>
      <c r="AJ169" s="6" t="s">
        <v>24</v>
      </c>
      <c r="AK169" s="6" t="str" cm="1">
        <f t="array" aca="1" ref="AK169" ca="1">IFERROR(INDEX(INDEX(INDIRECT($A$2&amp;$AI169,TRUE),0),AK$2),"")</f>
        <v/>
      </c>
      <c r="AL169" s="6" t="str" cm="1">
        <f t="array" aca="1" ref="AL169" ca="1">IFERROR(INDEX(INDEX(INDIRECT($A$2&amp;$AI169,TRUE),0),AL$2),"")</f>
        <v/>
      </c>
      <c r="AM169" s="6" t="str" cm="1">
        <f t="array" aca="1" ref="AM169" ca="1">IFERROR(INDEX(INDEX(INDIRECT($A$2&amp;$AI169,TRUE),0),AM$2),"")</f>
        <v/>
      </c>
      <c r="AN169" s="6" t="str" cm="1">
        <f t="array" aca="1" ref="AN169" ca="1">IFERROR(INDEX(INDEX(INDIRECT($A$2&amp;$AI169,TRUE),0),AN$2),"")</f>
        <v/>
      </c>
      <c r="AO169" s="6" t="str" cm="1">
        <f t="array" aca="1" ref="AO169" ca="1">IFERROR(INDEX(INDEX(INDIRECT($A$2&amp;$AI169,TRUE),0),AO$2),"")</f>
        <v/>
      </c>
      <c r="AP169" s="6" t="str" cm="1">
        <f t="array" aca="1" ref="AP169" ca="1">IFERROR(INDEX(INDEX(INDIRECT($A$2&amp;$AI169,TRUE),0),AP$2),"")</f>
        <v/>
      </c>
      <c r="AQ169" s="6" t="str" cm="1">
        <f t="array" aca="1" ref="AQ169" ca="1">IFERROR(INDEX(INDEX(INDIRECT($A$2&amp;$AI169,TRUE),0),AQ$2),"")</f>
        <v/>
      </c>
      <c r="AR169" s="6" t="str" cm="1">
        <f t="array" aca="1" ref="AR169" ca="1">IFERROR(INDEX(INDEX(INDIRECT($A$2&amp;$AI169,TRUE),0),AR$2),"")</f>
        <v/>
      </c>
      <c r="AS169" s="6" t="str" cm="1">
        <f t="array" aca="1" ref="AS169" ca="1">IFERROR(INDEX(INDEX(INDIRECT($A$2&amp;$AI169,TRUE),0),AS$2),"")</f>
        <v/>
      </c>
      <c r="AT169" s="6" t="str" cm="1">
        <f t="array" aca="1" ref="AT169" ca="1">IFERROR(INDEX(INDEX(INDIRECT($A$2&amp;$AI169,TRUE),0),AT$2),"")</f>
        <v/>
      </c>
      <c r="AU169" s="6"/>
    </row>
    <row r="170" spans="34:47">
      <c r="AH170" s="6">
        <v>3</v>
      </c>
      <c r="AI170" s="6" t="e">
        <f t="shared" si="111"/>
        <v>#N/A</v>
      </c>
      <c r="AJ170" s="6" t="s">
        <v>11</v>
      </c>
      <c r="AK170" s="6" t="str" cm="1">
        <f t="array" aca="1" ref="AK170" ca="1">IFERROR(INDEX(INDEX(INDIRECT($A$2&amp;$AI170,TRUE),0),AK$2),"")</f>
        <v/>
      </c>
      <c r="AL170" s="6" t="str" cm="1">
        <f t="array" aca="1" ref="AL170" ca="1">IFERROR(INDEX(INDEX(INDIRECT($A$2&amp;$AI170,TRUE),0),AL$2),"")</f>
        <v/>
      </c>
      <c r="AM170" s="6" t="str" cm="1">
        <f t="array" aca="1" ref="AM170" ca="1">IFERROR(INDEX(INDEX(INDIRECT($A$2&amp;$AI170,TRUE),0),AM$2),"")</f>
        <v/>
      </c>
      <c r="AN170" s="6" t="str" cm="1">
        <f t="array" aca="1" ref="AN170" ca="1">IFERROR(INDEX(INDEX(INDIRECT($A$2&amp;$AI170,TRUE),0),AN$2),"")</f>
        <v/>
      </c>
      <c r="AO170" s="6" t="str" cm="1">
        <f t="array" aca="1" ref="AO170" ca="1">IFERROR(INDEX(INDEX(INDIRECT($A$2&amp;$AI170,TRUE),0),AO$2),"")</f>
        <v/>
      </c>
      <c r="AP170" s="6" t="str" cm="1">
        <f t="array" aca="1" ref="AP170" ca="1">IFERROR(INDEX(INDEX(INDIRECT($A$2&amp;$AI170,TRUE),0),AP$2),"")</f>
        <v/>
      </c>
      <c r="AQ170" s="6" t="str" cm="1">
        <f t="array" aca="1" ref="AQ170" ca="1">IFERROR(INDEX(INDEX(INDIRECT($A$2&amp;$AI170,TRUE),0),AQ$2),"")</f>
        <v/>
      </c>
      <c r="AR170" s="6" t="str" cm="1">
        <f t="array" aca="1" ref="AR170" ca="1">IFERROR(INDEX(INDEX(INDIRECT($A$2&amp;$AI170,TRUE),0),AR$2),"")</f>
        <v/>
      </c>
      <c r="AS170" s="6" t="str" cm="1">
        <f t="array" aca="1" ref="AS170" ca="1">IFERROR(INDEX(INDEX(INDIRECT($A$2&amp;$AI170,TRUE),0),AS$2),"")</f>
        <v/>
      </c>
      <c r="AT170" s="6" t="str" cm="1">
        <f t="array" aca="1" ref="AT170" ca="1">IFERROR(INDEX(INDEX(INDIRECT($A$2&amp;$AI170,TRUE),0),AT$2),"")</f>
        <v/>
      </c>
      <c r="AU170" s="6"/>
    </row>
    <row r="171" spans="34:47">
      <c r="AH171" s="6">
        <v>4</v>
      </c>
      <c r="AI171" s="6" t="e">
        <f t="shared" si="111"/>
        <v>#N/A</v>
      </c>
      <c r="AJ171" s="6" t="s">
        <v>32</v>
      </c>
      <c r="AK171" s="6" t="str" cm="1">
        <f t="array" aca="1" ref="AK171" ca="1">IFERROR(INDEX(INDEX(INDIRECT($A$2&amp;$AI171,TRUE),0),AK$2),"")</f>
        <v/>
      </c>
      <c r="AL171" s="6" t="str" cm="1">
        <f t="array" aca="1" ref="AL171" ca="1">IFERROR(INDEX(INDEX(INDIRECT($A$2&amp;$AI171,TRUE),0),AL$2),"")</f>
        <v/>
      </c>
      <c r="AM171" s="6" t="str" cm="1">
        <f t="array" aca="1" ref="AM171" ca="1">IFERROR(INDEX(INDEX(INDIRECT($A$2&amp;$AI171,TRUE),0),AM$2),"")</f>
        <v/>
      </c>
      <c r="AN171" s="6" t="str" cm="1">
        <f t="array" aca="1" ref="AN171" ca="1">IFERROR(INDEX(INDEX(INDIRECT($A$2&amp;$AI171,TRUE),0),AN$2),"")</f>
        <v/>
      </c>
      <c r="AO171" s="6" t="str" cm="1">
        <f t="array" aca="1" ref="AO171" ca="1">IFERROR(INDEX(INDEX(INDIRECT($A$2&amp;$AI171,TRUE),0),AO$2),"")</f>
        <v/>
      </c>
      <c r="AP171" s="6" t="str" cm="1">
        <f t="array" aca="1" ref="AP171" ca="1">IFERROR(INDEX(INDEX(INDIRECT($A$2&amp;$AI171,TRUE),0),AP$2),"")</f>
        <v/>
      </c>
      <c r="AQ171" s="6" t="str" cm="1">
        <f t="array" aca="1" ref="AQ171" ca="1">IFERROR(INDEX(INDEX(INDIRECT($A$2&amp;$AI171,TRUE),0),AQ$2),"")</f>
        <v/>
      </c>
      <c r="AR171" s="6" t="str" cm="1">
        <f t="array" aca="1" ref="AR171" ca="1">IFERROR(INDEX(INDEX(INDIRECT($A$2&amp;$AI171,TRUE),0),AR$2),"")</f>
        <v/>
      </c>
      <c r="AS171" s="6" t="str" cm="1">
        <f t="array" aca="1" ref="AS171" ca="1">IFERROR(INDEX(INDEX(INDIRECT($A$2&amp;$AI171,TRUE),0),AS$2),"")</f>
        <v/>
      </c>
      <c r="AT171" s="6" t="str" cm="1">
        <f t="array" aca="1" ref="AT171" ca="1">IFERROR(INDEX(INDEX(INDIRECT($A$2&amp;$AI171,TRUE),0),AT$2),"")</f>
        <v/>
      </c>
      <c r="AU171" s="6"/>
    </row>
    <row r="172" spans="34:47">
      <c r="AH172" s="6">
        <v>5</v>
      </c>
      <c r="AI172" s="6" t="e">
        <f t="shared" si="111"/>
        <v>#N/A</v>
      </c>
      <c r="AJ172" s="6" t="s">
        <v>37</v>
      </c>
      <c r="AK172" s="6" t="str" cm="1">
        <f t="array" aca="1" ref="AK172" ca="1">IFERROR(INDEX(INDEX(INDIRECT($A$2&amp;$AI172,TRUE),0),AK$2),"")</f>
        <v/>
      </c>
      <c r="AL172" s="6" t="str" cm="1">
        <f t="array" aca="1" ref="AL172" ca="1">IFERROR(INDEX(INDEX(INDIRECT($A$2&amp;$AI172,TRUE),0),AL$2),"")</f>
        <v/>
      </c>
      <c r="AM172" s="6" t="str" cm="1">
        <f t="array" aca="1" ref="AM172" ca="1">IFERROR(INDEX(INDEX(INDIRECT($A$2&amp;$AI172,TRUE),0),AM$2),"")</f>
        <v/>
      </c>
      <c r="AN172" s="6" t="str" cm="1">
        <f t="array" aca="1" ref="AN172" ca="1">IFERROR(INDEX(INDEX(INDIRECT($A$2&amp;$AI172,TRUE),0),AN$2),"")</f>
        <v/>
      </c>
      <c r="AO172" s="6" t="str" cm="1">
        <f t="array" aca="1" ref="AO172" ca="1">IFERROR(INDEX(INDEX(INDIRECT($A$2&amp;$AI172,TRUE),0),AO$2),"")</f>
        <v/>
      </c>
      <c r="AP172" s="6" t="str" cm="1">
        <f t="array" aca="1" ref="AP172" ca="1">IFERROR(INDEX(INDEX(INDIRECT($A$2&amp;$AI172,TRUE),0),AP$2),"")</f>
        <v/>
      </c>
      <c r="AQ172" s="6" t="str" cm="1">
        <f t="array" aca="1" ref="AQ172" ca="1">IFERROR(INDEX(INDEX(INDIRECT($A$2&amp;$AI172,TRUE),0),AQ$2),"")</f>
        <v/>
      </c>
      <c r="AR172" s="6" t="str" cm="1">
        <f t="array" aca="1" ref="AR172" ca="1">IFERROR(INDEX(INDEX(INDIRECT($A$2&amp;$AI172,TRUE),0),AR$2),"")</f>
        <v/>
      </c>
      <c r="AS172" s="6" t="str" cm="1">
        <f t="array" aca="1" ref="AS172" ca="1">IFERROR(INDEX(INDEX(INDIRECT($A$2&amp;$AI172,TRUE),0),AS$2),"")</f>
        <v/>
      </c>
      <c r="AT172" s="6" t="str" cm="1">
        <f t="array" aca="1" ref="AT172" ca="1">IFERROR(INDEX(INDEX(INDIRECT($A$2&amp;$AI172,TRUE),0),AT$2),"")</f>
        <v/>
      </c>
      <c r="AU172" s="6"/>
    </row>
    <row r="173" spans="34:47">
      <c r="AH173" s="6">
        <v>6</v>
      </c>
      <c r="AI173" s="6" t="e">
        <f t="shared" si="111"/>
        <v>#N/A</v>
      </c>
      <c r="AJ173" s="6" t="s">
        <v>41</v>
      </c>
      <c r="AK173" s="6" t="str" cm="1">
        <f t="array" aca="1" ref="AK173" ca="1">IFERROR(INDEX(INDEX(INDIRECT($A$2&amp;$AI173,TRUE),0),AK$2),"")</f>
        <v/>
      </c>
      <c r="AL173" s="6" t="str" cm="1">
        <f t="array" aca="1" ref="AL173" ca="1">IFERROR(INDEX(INDEX(INDIRECT($A$2&amp;$AI173,TRUE),0),AL$2),"")</f>
        <v/>
      </c>
      <c r="AM173" s="6" t="str" cm="1">
        <f t="array" aca="1" ref="AM173" ca="1">IFERROR(INDEX(INDEX(INDIRECT($A$2&amp;$AI173,TRUE),0),AM$2),"")</f>
        <v/>
      </c>
      <c r="AN173" s="6" t="str" cm="1">
        <f t="array" aca="1" ref="AN173" ca="1">IFERROR(INDEX(INDEX(INDIRECT($A$2&amp;$AI173,TRUE),0),AN$2),"")</f>
        <v/>
      </c>
      <c r="AO173" s="6" t="str" cm="1">
        <f t="array" aca="1" ref="AO173" ca="1">IFERROR(INDEX(INDEX(INDIRECT($A$2&amp;$AI173,TRUE),0),AO$2),"")</f>
        <v/>
      </c>
      <c r="AP173" s="6" t="str" cm="1">
        <f t="array" aca="1" ref="AP173" ca="1">IFERROR(INDEX(INDEX(INDIRECT($A$2&amp;$AI173,TRUE),0),AP$2),"")</f>
        <v/>
      </c>
      <c r="AQ173" s="6" t="str" cm="1">
        <f t="array" aca="1" ref="AQ173" ca="1">IFERROR(INDEX(INDEX(INDIRECT($A$2&amp;$AI173,TRUE),0),AQ$2),"")</f>
        <v/>
      </c>
      <c r="AR173" s="6" t="str" cm="1">
        <f t="array" aca="1" ref="AR173" ca="1">IFERROR(INDEX(INDEX(INDIRECT($A$2&amp;$AI173,TRUE),0),AR$2),"")</f>
        <v/>
      </c>
      <c r="AS173" s="6" t="str" cm="1">
        <f t="array" aca="1" ref="AS173" ca="1">IFERROR(INDEX(INDEX(INDIRECT($A$2&amp;$AI173,TRUE),0),AS$2),"")</f>
        <v/>
      </c>
      <c r="AT173" s="6" t="str" cm="1">
        <f t="array" aca="1" ref="AT173" ca="1">IFERROR(INDEX(INDEX(INDIRECT($A$2&amp;$AI173,TRUE),0),AT$2),"")</f>
        <v/>
      </c>
      <c r="AU173" s="6"/>
    </row>
    <row r="174" spans="34:47">
      <c r="AI174" t="s">
        <v>63</v>
      </c>
      <c r="AJ174" s="8">
        <f>AJ167-1</f>
        <v>-24</v>
      </c>
      <c r="AK174" s="9" t="e">
        <f>" ("&amp;CHOOSE(WEEKDAY(AJ174,1),"日","月","火","水","木","金","土")&amp;")"</f>
        <v>#NUM!</v>
      </c>
      <c r="AL174" s="10"/>
      <c r="AM174" s="10"/>
      <c r="AN174" s="10"/>
      <c r="AO174" s="10"/>
      <c r="AP174" s="10"/>
      <c r="AQ174" s="10"/>
      <c r="AR174" s="10"/>
      <c r="AS174" s="10"/>
      <c r="AT174" s="10"/>
      <c r="AU174" s="6"/>
    </row>
    <row r="175" spans="34:47">
      <c r="AH175" s="6">
        <v>1</v>
      </c>
      <c r="AI175" s="6" t="e">
        <f>INDEX($T$4:$AE$32,MATCH($AJ$174,$B$4:$B$34,0),MATCH($AJ175,$T$3:$AE$3,0))</f>
        <v>#N/A</v>
      </c>
      <c r="AJ175" s="6" t="s">
        <v>19</v>
      </c>
      <c r="AK175" s="6" t="str" cm="1">
        <f t="array" aca="1" ref="AK175" ca="1">IFERROR(INDEX(INDEX(INDIRECT($A$2&amp;$AI175,TRUE),0),AK$2),"")</f>
        <v/>
      </c>
      <c r="AL175" s="6" t="str" cm="1">
        <f t="array" aca="1" ref="AL175" ca="1">IFERROR(INDEX(INDEX(INDIRECT($A$2&amp;$AI175,TRUE),0),AL$2),"")</f>
        <v/>
      </c>
      <c r="AM175" s="6" t="str" cm="1">
        <f t="array" aca="1" ref="AM175" ca="1">IFERROR(INDEX(INDEX(INDIRECT($A$2&amp;$AI175,TRUE),0),AM$2),"")</f>
        <v/>
      </c>
      <c r="AN175" s="6" t="str" cm="1">
        <f t="array" aca="1" ref="AN175" ca="1">IFERROR(INDEX(INDEX(INDIRECT($A$2&amp;$AI175,TRUE),0),AN$2),"")</f>
        <v/>
      </c>
      <c r="AO175" s="6" t="str" cm="1">
        <f t="array" aca="1" ref="AO175" ca="1">IFERROR(INDEX(INDEX(INDIRECT($A$2&amp;$AI175,TRUE),0),AO$2),"")</f>
        <v/>
      </c>
      <c r="AP175" s="6" t="str" cm="1">
        <f t="array" aca="1" ref="AP175" ca="1">IFERROR(INDEX(INDEX(INDIRECT($A$2&amp;$AI175,TRUE),0),AP$2),"")</f>
        <v/>
      </c>
      <c r="AQ175" s="6" t="str" cm="1">
        <f t="array" aca="1" ref="AQ175" ca="1">IFERROR(INDEX(INDEX(INDIRECT($A$2&amp;$AI175,TRUE),0),AQ$2),"")</f>
        <v/>
      </c>
      <c r="AR175" s="6" t="str" cm="1">
        <f t="array" aca="1" ref="AR175" ca="1">IFERROR(INDEX(INDEX(INDIRECT($A$2&amp;$AI175,TRUE),0),AR$2),"")</f>
        <v/>
      </c>
      <c r="AS175" s="6" t="str" cm="1">
        <f t="array" aca="1" ref="AS175" ca="1">IFERROR(INDEX(INDEX(INDIRECT($A$2&amp;$AI175,TRUE),0),AS$2),"")</f>
        <v/>
      </c>
      <c r="AT175" s="6" t="str" cm="1">
        <f t="array" aca="1" ref="AT175" ca="1">IFERROR(INDEX(INDEX(INDIRECT($A$2&amp;$AI175,TRUE),0),AT$2),"")</f>
        <v/>
      </c>
      <c r="AU175" s="6"/>
    </row>
    <row r="176" spans="34:47">
      <c r="AH176" s="6">
        <v>2</v>
      </c>
      <c r="AI176" s="6" t="e">
        <f t="shared" ref="AI176:AI180" si="112">INDEX($T$4:$AE$32,MATCH($AJ$174,$B$4:$B$34,0),MATCH($AJ176,$T$3:$AE$3,0))</f>
        <v>#N/A</v>
      </c>
      <c r="AJ176" s="6" t="s">
        <v>24</v>
      </c>
      <c r="AK176" s="6" t="str" cm="1">
        <f t="array" aca="1" ref="AK176" ca="1">IFERROR(INDEX(INDEX(INDIRECT($A$2&amp;$AI176,TRUE),0),AK$2),"")</f>
        <v/>
      </c>
      <c r="AL176" s="6" t="str" cm="1">
        <f t="array" aca="1" ref="AL176" ca="1">IFERROR(INDEX(INDEX(INDIRECT($A$2&amp;$AI176,TRUE),0),AL$2),"")</f>
        <v/>
      </c>
      <c r="AM176" s="6" t="str" cm="1">
        <f t="array" aca="1" ref="AM176" ca="1">IFERROR(INDEX(INDEX(INDIRECT($A$2&amp;$AI176,TRUE),0),AM$2),"")</f>
        <v/>
      </c>
      <c r="AN176" s="6" t="str" cm="1">
        <f t="array" aca="1" ref="AN176" ca="1">IFERROR(INDEX(INDEX(INDIRECT($A$2&amp;$AI176,TRUE),0),AN$2),"")</f>
        <v/>
      </c>
      <c r="AO176" s="6" t="str" cm="1">
        <f t="array" aca="1" ref="AO176" ca="1">IFERROR(INDEX(INDEX(INDIRECT($A$2&amp;$AI176,TRUE),0),AO$2),"")</f>
        <v/>
      </c>
      <c r="AP176" s="6" t="str" cm="1">
        <f t="array" aca="1" ref="AP176" ca="1">IFERROR(INDEX(INDEX(INDIRECT($A$2&amp;$AI176,TRUE),0),AP$2),"")</f>
        <v/>
      </c>
      <c r="AQ176" s="6" t="str" cm="1">
        <f t="array" aca="1" ref="AQ176" ca="1">IFERROR(INDEX(INDEX(INDIRECT($A$2&amp;$AI176,TRUE),0),AQ$2),"")</f>
        <v/>
      </c>
      <c r="AR176" s="6" t="str" cm="1">
        <f t="array" aca="1" ref="AR176" ca="1">IFERROR(INDEX(INDEX(INDIRECT($A$2&amp;$AI176,TRUE),0),AR$2),"")</f>
        <v/>
      </c>
      <c r="AS176" s="6" t="str" cm="1">
        <f t="array" aca="1" ref="AS176" ca="1">IFERROR(INDEX(INDEX(INDIRECT($A$2&amp;$AI176,TRUE),0),AS$2),"")</f>
        <v/>
      </c>
      <c r="AT176" s="6" t="str" cm="1">
        <f t="array" aca="1" ref="AT176" ca="1">IFERROR(INDEX(INDEX(INDIRECT($A$2&amp;$AI176,TRUE),0),AT$2),"")</f>
        <v/>
      </c>
      <c r="AU176" s="6"/>
    </row>
    <row r="177" spans="34:47">
      <c r="AH177" s="6">
        <v>3</v>
      </c>
      <c r="AI177" s="6" t="e">
        <f t="shared" si="112"/>
        <v>#N/A</v>
      </c>
      <c r="AJ177" s="6" t="s">
        <v>11</v>
      </c>
      <c r="AK177" s="6" t="str" cm="1">
        <f t="array" aca="1" ref="AK177" ca="1">IFERROR(INDEX(INDEX(INDIRECT($A$2&amp;$AI177,TRUE),0),AK$2),"")</f>
        <v/>
      </c>
      <c r="AL177" s="6" t="str" cm="1">
        <f t="array" aca="1" ref="AL177" ca="1">IFERROR(INDEX(INDEX(INDIRECT($A$2&amp;$AI177,TRUE),0),AL$2),"")</f>
        <v/>
      </c>
      <c r="AM177" s="6" t="str" cm="1">
        <f t="array" aca="1" ref="AM177" ca="1">IFERROR(INDEX(INDEX(INDIRECT($A$2&amp;$AI177,TRUE),0),AM$2),"")</f>
        <v/>
      </c>
      <c r="AN177" s="6" t="str" cm="1">
        <f t="array" aca="1" ref="AN177" ca="1">IFERROR(INDEX(INDEX(INDIRECT($A$2&amp;$AI177,TRUE),0),AN$2),"")</f>
        <v/>
      </c>
      <c r="AO177" s="6" t="str" cm="1">
        <f t="array" aca="1" ref="AO177" ca="1">IFERROR(INDEX(INDEX(INDIRECT($A$2&amp;$AI177,TRUE),0),AO$2),"")</f>
        <v/>
      </c>
      <c r="AP177" s="6" t="str" cm="1">
        <f t="array" aca="1" ref="AP177" ca="1">IFERROR(INDEX(INDEX(INDIRECT($A$2&amp;$AI177,TRUE),0),AP$2),"")</f>
        <v/>
      </c>
      <c r="AQ177" s="6" t="str" cm="1">
        <f t="array" aca="1" ref="AQ177" ca="1">IFERROR(INDEX(INDEX(INDIRECT($A$2&amp;$AI177,TRUE),0),AQ$2),"")</f>
        <v/>
      </c>
      <c r="AR177" s="6" t="str" cm="1">
        <f t="array" aca="1" ref="AR177" ca="1">IFERROR(INDEX(INDEX(INDIRECT($A$2&amp;$AI177,TRUE),0),AR$2),"")</f>
        <v/>
      </c>
      <c r="AS177" s="6" t="str" cm="1">
        <f t="array" aca="1" ref="AS177" ca="1">IFERROR(INDEX(INDEX(INDIRECT($A$2&amp;$AI177,TRUE),0),AS$2),"")</f>
        <v/>
      </c>
      <c r="AT177" s="6" t="str" cm="1">
        <f t="array" aca="1" ref="AT177" ca="1">IFERROR(INDEX(INDEX(INDIRECT($A$2&amp;$AI177,TRUE),0),AT$2),"")</f>
        <v/>
      </c>
      <c r="AU177" s="6"/>
    </row>
    <row r="178" spans="34:47">
      <c r="AH178" s="6">
        <v>4</v>
      </c>
      <c r="AI178" s="6" t="e">
        <f t="shared" si="112"/>
        <v>#N/A</v>
      </c>
      <c r="AJ178" s="6" t="s">
        <v>32</v>
      </c>
      <c r="AK178" s="6" t="str" cm="1">
        <f t="array" aca="1" ref="AK178" ca="1">IFERROR(INDEX(INDEX(INDIRECT($A$2&amp;$AI178,TRUE),0),AK$2),"")</f>
        <v/>
      </c>
      <c r="AL178" s="6" t="str" cm="1">
        <f t="array" aca="1" ref="AL178" ca="1">IFERROR(INDEX(INDEX(INDIRECT($A$2&amp;$AI178,TRUE),0),AL$2),"")</f>
        <v/>
      </c>
      <c r="AM178" s="6" t="str" cm="1">
        <f t="array" aca="1" ref="AM178" ca="1">IFERROR(INDEX(INDEX(INDIRECT($A$2&amp;$AI178,TRUE),0),AM$2),"")</f>
        <v/>
      </c>
      <c r="AN178" s="6" t="str" cm="1">
        <f t="array" aca="1" ref="AN178" ca="1">IFERROR(INDEX(INDEX(INDIRECT($A$2&amp;$AI178,TRUE),0),AN$2),"")</f>
        <v/>
      </c>
      <c r="AO178" s="6" t="str" cm="1">
        <f t="array" aca="1" ref="AO178" ca="1">IFERROR(INDEX(INDEX(INDIRECT($A$2&amp;$AI178,TRUE),0),AO$2),"")</f>
        <v/>
      </c>
      <c r="AP178" s="6" t="str" cm="1">
        <f t="array" aca="1" ref="AP178" ca="1">IFERROR(INDEX(INDEX(INDIRECT($A$2&amp;$AI178,TRUE),0),AP$2),"")</f>
        <v/>
      </c>
      <c r="AQ178" s="6" t="str" cm="1">
        <f t="array" aca="1" ref="AQ178" ca="1">IFERROR(INDEX(INDEX(INDIRECT($A$2&amp;$AI178,TRUE),0),AQ$2),"")</f>
        <v/>
      </c>
      <c r="AR178" s="6" t="str" cm="1">
        <f t="array" aca="1" ref="AR178" ca="1">IFERROR(INDEX(INDEX(INDIRECT($A$2&amp;$AI178,TRUE),0),AR$2),"")</f>
        <v/>
      </c>
      <c r="AS178" s="6" t="str" cm="1">
        <f t="array" aca="1" ref="AS178" ca="1">IFERROR(INDEX(INDEX(INDIRECT($A$2&amp;$AI178,TRUE),0),AS$2),"")</f>
        <v/>
      </c>
      <c r="AT178" s="6" t="str" cm="1">
        <f t="array" aca="1" ref="AT178" ca="1">IFERROR(INDEX(INDEX(INDIRECT($A$2&amp;$AI178,TRUE),0),AT$2),"")</f>
        <v/>
      </c>
      <c r="AU178" s="6"/>
    </row>
    <row r="179" spans="34:47">
      <c r="AH179" s="6">
        <v>5</v>
      </c>
      <c r="AI179" s="6" t="e">
        <f t="shared" si="112"/>
        <v>#N/A</v>
      </c>
      <c r="AJ179" s="6" t="s">
        <v>37</v>
      </c>
      <c r="AK179" s="6" t="str" cm="1">
        <f t="array" aca="1" ref="AK179" ca="1">IFERROR(INDEX(INDEX(INDIRECT($A$2&amp;$AI179,TRUE),0),AK$2),"")</f>
        <v/>
      </c>
      <c r="AL179" s="6" t="str" cm="1">
        <f t="array" aca="1" ref="AL179" ca="1">IFERROR(INDEX(INDEX(INDIRECT($A$2&amp;$AI179,TRUE),0),AL$2),"")</f>
        <v/>
      </c>
      <c r="AM179" s="6" t="str" cm="1">
        <f t="array" aca="1" ref="AM179" ca="1">IFERROR(INDEX(INDEX(INDIRECT($A$2&amp;$AI179,TRUE),0),AM$2),"")</f>
        <v/>
      </c>
      <c r="AN179" s="6" t="str" cm="1">
        <f t="array" aca="1" ref="AN179" ca="1">IFERROR(INDEX(INDEX(INDIRECT($A$2&amp;$AI179,TRUE),0),AN$2),"")</f>
        <v/>
      </c>
      <c r="AO179" s="6" t="str" cm="1">
        <f t="array" aca="1" ref="AO179" ca="1">IFERROR(INDEX(INDEX(INDIRECT($A$2&amp;$AI179,TRUE),0),AO$2),"")</f>
        <v/>
      </c>
      <c r="AP179" s="6" t="str" cm="1">
        <f t="array" aca="1" ref="AP179" ca="1">IFERROR(INDEX(INDEX(INDIRECT($A$2&amp;$AI179,TRUE),0),AP$2),"")</f>
        <v/>
      </c>
      <c r="AQ179" s="6" t="str" cm="1">
        <f t="array" aca="1" ref="AQ179" ca="1">IFERROR(INDEX(INDEX(INDIRECT($A$2&amp;$AI179,TRUE),0),AQ$2),"")</f>
        <v/>
      </c>
      <c r="AR179" s="6" t="str" cm="1">
        <f t="array" aca="1" ref="AR179" ca="1">IFERROR(INDEX(INDEX(INDIRECT($A$2&amp;$AI179,TRUE),0),AR$2),"")</f>
        <v/>
      </c>
      <c r="AS179" s="6" t="str" cm="1">
        <f t="array" aca="1" ref="AS179" ca="1">IFERROR(INDEX(INDEX(INDIRECT($A$2&amp;$AI179,TRUE),0),AS$2),"")</f>
        <v/>
      </c>
      <c r="AT179" s="6" t="str" cm="1">
        <f t="array" aca="1" ref="AT179" ca="1">IFERROR(INDEX(INDEX(INDIRECT($A$2&amp;$AI179,TRUE),0),AT$2),"")</f>
        <v/>
      </c>
      <c r="AU179" s="6"/>
    </row>
    <row r="180" spans="34:47">
      <c r="AH180" s="6">
        <v>6</v>
      </c>
      <c r="AI180" s="6" t="e">
        <f t="shared" si="112"/>
        <v>#N/A</v>
      </c>
      <c r="AJ180" s="6" t="s">
        <v>41</v>
      </c>
      <c r="AK180" s="6" t="str" cm="1">
        <f t="array" aca="1" ref="AK180" ca="1">IFERROR(INDEX(INDEX(INDIRECT($A$2&amp;$AI180,TRUE),0),AK$2),"")</f>
        <v/>
      </c>
      <c r="AL180" s="6" t="str" cm="1">
        <f t="array" aca="1" ref="AL180" ca="1">IFERROR(INDEX(INDEX(INDIRECT($A$2&amp;$AI180,TRUE),0),AL$2),"")</f>
        <v/>
      </c>
      <c r="AM180" s="6" t="str" cm="1">
        <f t="array" aca="1" ref="AM180" ca="1">IFERROR(INDEX(INDEX(INDIRECT($A$2&amp;$AI180,TRUE),0),AM$2),"")</f>
        <v/>
      </c>
      <c r="AN180" s="6" t="str" cm="1">
        <f t="array" aca="1" ref="AN180" ca="1">IFERROR(INDEX(INDEX(INDIRECT($A$2&amp;$AI180,TRUE),0),AN$2),"")</f>
        <v/>
      </c>
      <c r="AO180" s="6" t="str" cm="1">
        <f t="array" aca="1" ref="AO180" ca="1">IFERROR(INDEX(INDEX(INDIRECT($A$2&amp;$AI180,TRUE),0),AO$2),"")</f>
        <v/>
      </c>
      <c r="AP180" s="6" t="str" cm="1">
        <f t="array" aca="1" ref="AP180" ca="1">IFERROR(INDEX(INDEX(INDIRECT($A$2&amp;$AI180,TRUE),0),AP$2),"")</f>
        <v/>
      </c>
      <c r="AQ180" s="6" t="str" cm="1">
        <f t="array" aca="1" ref="AQ180" ca="1">IFERROR(INDEX(INDEX(INDIRECT($A$2&amp;$AI180,TRUE),0),AQ$2),"")</f>
        <v/>
      </c>
      <c r="AR180" s="6" t="str" cm="1">
        <f t="array" aca="1" ref="AR180" ca="1">IFERROR(INDEX(INDEX(INDIRECT($A$2&amp;$AI180,TRUE),0),AR$2),"")</f>
        <v/>
      </c>
      <c r="AS180" s="6" t="str" cm="1">
        <f t="array" aca="1" ref="AS180" ca="1">IFERROR(INDEX(INDEX(INDIRECT($A$2&amp;$AI180,TRUE),0),AS$2),"")</f>
        <v/>
      </c>
      <c r="AT180" s="6" t="str" cm="1">
        <f t="array" aca="1" ref="AT180" ca="1">IFERROR(INDEX(INDEX(INDIRECT($A$2&amp;$AI180,TRUE),0),AT$2),"")</f>
        <v/>
      </c>
      <c r="AU180" s="6"/>
    </row>
    <row r="181" spans="34:47">
      <c r="AI181" t="s">
        <v>63</v>
      </c>
      <c r="AJ181" s="8">
        <f>AJ174-1</f>
        <v>-25</v>
      </c>
      <c r="AK181" s="9" t="e">
        <f>" ("&amp;CHOOSE(WEEKDAY(AJ181,1),"日","月","火","水","木","金","土")&amp;")"</f>
        <v>#NUM!</v>
      </c>
      <c r="AL181" s="10"/>
      <c r="AM181" s="10"/>
      <c r="AN181" s="10"/>
      <c r="AO181" s="10"/>
      <c r="AP181" s="10"/>
      <c r="AQ181" s="10"/>
      <c r="AR181" s="10"/>
      <c r="AS181" s="10"/>
      <c r="AT181" s="10"/>
      <c r="AU181" s="6"/>
    </row>
    <row r="182" spans="34:47">
      <c r="AH182" s="6">
        <v>1</v>
      </c>
      <c r="AI182" s="6" t="e">
        <f>INDEX($T$4:$AE$32,MATCH($AJ$181,$B$4:$B$34,0),MATCH($AJ182,$T$3:$AE$3,0))</f>
        <v>#N/A</v>
      </c>
      <c r="AJ182" s="6" t="s">
        <v>19</v>
      </c>
      <c r="AK182" s="6" t="str" cm="1">
        <f t="array" aca="1" ref="AK182" ca="1">IFERROR(INDEX(INDEX(INDIRECT($A$2&amp;$AI182,TRUE),0),AK$2),"")</f>
        <v/>
      </c>
      <c r="AL182" s="6" t="str" cm="1">
        <f t="array" aca="1" ref="AL182" ca="1">IFERROR(INDEX(INDEX(INDIRECT($A$2&amp;$AI182,TRUE),0),AL$2),"")</f>
        <v/>
      </c>
      <c r="AM182" s="6" t="str" cm="1">
        <f t="array" aca="1" ref="AM182" ca="1">IFERROR(INDEX(INDEX(INDIRECT($A$2&amp;$AI182,TRUE),0),AM$2),"")</f>
        <v/>
      </c>
      <c r="AN182" s="6" t="str" cm="1">
        <f t="array" aca="1" ref="AN182" ca="1">IFERROR(INDEX(INDEX(INDIRECT($A$2&amp;$AI182,TRUE),0),AN$2),"")</f>
        <v/>
      </c>
      <c r="AO182" s="6" t="str" cm="1">
        <f t="array" aca="1" ref="AO182" ca="1">IFERROR(INDEX(INDEX(INDIRECT($A$2&amp;$AI182,TRUE),0),AO$2),"")</f>
        <v/>
      </c>
      <c r="AP182" s="6" t="str" cm="1">
        <f t="array" aca="1" ref="AP182" ca="1">IFERROR(INDEX(INDEX(INDIRECT($A$2&amp;$AI182,TRUE),0),AP$2),"")</f>
        <v/>
      </c>
      <c r="AQ182" s="6" t="str" cm="1">
        <f t="array" aca="1" ref="AQ182" ca="1">IFERROR(INDEX(INDEX(INDIRECT($A$2&amp;$AI182,TRUE),0),AQ$2),"")</f>
        <v/>
      </c>
      <c r="AR182" s="6" t="str" cm="1">
        <f t="array" aca="1" ref="AR182" ca="1">IFERROR(INDEX(INDEX(INDIRECT($A$2&amp;$AI182,TRUE),0),AR$2),"")</f>
        <v/>
      </c>
      <c r="AS182" s="6" t="str" cm="1">
        <f t="array" aca="1" ref="AS182" ca="1">IFERROR(INDEX(INDEX(INDIRECT($A$2&amp;$AI182,TRUE),0),AS$2),"")</f>
        <v/>
      </c>
      <c r="AT182" s="6" t="str" cm="1">
        <f t="array" aca="1" ref="AT182" ca="1">IFERROR(INDEX(INDEX(INDIRECT($A$2&amp;$AI182,TRUE),0),AT$2),"")</f>
        <v/>
      </c>
      <c r="AU182" s="6"/>
    </row>
    <row r="183" spans="34:47">
      <c r="AH183" s="6">
        <v>2</v>
      </c>
      <c r="AI183" s="6" t="e">
        <f t="shared" ref="AI183:AI187" si="113">INDEX($T$4:$AE$32,MATCH($AJ$181,$B$4:$B$34,0),MATCH($AJ183,$T$3:$AE$3,0))</f>
        <v>#N/A</v>
      </c>
      <c r="AJ183" s="6" t="s">
        <v>24</v>
      </c>
      <c r="AK183" s="6" t="str" cm="1">
        <f t="array" aca="1" ref="AK183" ca="1">IFERROR(INDEX(INDEX(INDIRECT($A$2&amp;$AI183,TRUE),0),AK$2),"")</f>
        <v/>
      </c>
      <c r="AL183" s="6" t="str" cm="1">
        <f t="array" aca="1" ref="AL183" ca="1">IFERROR(INDEX(INDEX(INDIRECT($A$2&amp;$AI183,TRUE),0),AL$2),"")</f>
        <v/>
      </c>
      <c r="AM183" s="6" t="str" cm="1">
        <f t="array" aca="1" ref="AM183" ca="1">IFERROR(INDEX(INDEX(INDIRECT($A$2&amp;$AI183,TRUE),0),AM$2),"")</f>
        <v/>
      </c>
      <c r="AN183" s="6" t="str" cm="1">
        <f t="array" aca="1" ref="AN183" ca="1">IFERROR(INDEX(INDEX(INDIRECT($A$2&amp;$AI183,TRUE),0),AN$2),"")</f>
        <v/>
      </c>
      <c r="AO183" s="6" t="str" cm="1">
        <f t="array" aca="1" ref="AO183" ca="1">IFERROR(INDEX(INDEX(INDIRECT($A$2&amp;$AI183,TRUE),0),AO$2),"")</f>
        <v/>
      </c>
      <c r="AP183" s="6" t="str" cm="1">
        <f t="array" aca="1" ref="AP183" ca="1">IFERROR(INDEX(INDEX(INDIRECT($A$2&amp;$AI183,TRUE),0),AP$2),"")</f>
        <v/>
      </c>
      <c r="AQ183" s="6" t="str" cm="1">
        <f t="array" aca="1" ref="AQ183" ca="1">IFERROR(INDEX(INDEX(INDIRECT($A$2&amp;$AI183,TRUE),0),AQ$2),"")</f>
        <v/>
      </c>
      <c r="AR183" s="6" t="str" cm="1">
        <f t="array" aca="1" ref="AR183" ca="1">IFERROR(INDEX(INDEX(INDIRECT($A$2&amp;$AI183,TRUE),0),AR$2),"")</f>
        <v/>
      </c>
      <c r="AS183" s="6" t="str" cm="1">
        <f t="array" aca="1" ref="AS183" ca="1">IFERROR(INDEX(INDEX(INDIRECT($A$2&amp;$AI183,TRUE),0),AS$2),"")</f>
        <v/>
      </c>
      <c r="AT183" s="6" t="str" cm="1">
        <f t="array" aca="1" ref="AT183" ca="1">IFERROR(INDEX(INDEX(INDIRECT($A$2&amp;$AI183,TRUE),0),AT$2),"")</f>
        <v/>
      </c>
      <c r="AU183" s="6"/>
    </row>
    <row r="184" spans="34:47">
      <c r="AH184" s="6">
        <v>3</v>
      </c>
      <c r="AI184" s="6" t="e">
        <f t="shared" si="113"/>
        <v>#N/A</v>
      </c>
      <c r="AJ184" s="6" t="s">
        <v>11</v>
      </c>
      <c r="AK184" s="6" t="str" cm="1">
        <f t="array" aca="1" ref="AK184" ca="1">IFERROR(INDEX(INDEX(INDIRECT($A$2&amp;$AI184,TRUE),0),AK$2),"")</f>
        <v/>
      </c>
      <c r="AL184" s="6" t="str" cm="1">
        <f t="array" aca="1" ref="AL184" ca="1">IFERROR(INDEX(INDEX(INDIRECT($A$2&amp;$AI184,TRUE),0),AL$2),"")</f>
        <v/>
      </c>
      <c r="AM184" s="6" t="str" cm="1">
        <f t="array" aca="1" ref="AM184" ca="1">IFERROR(INDEX(INDEX(INDIRECT($A$2&amp;$AI184,TRUE),0),AM$2),"")</f>
        <v/>
      </c>
      <c r="AN184" s="6" t="str" cm="1">
        <f t="array" aca="1" ref="AN184" ca="1">IFERROR(INDEX(INDEX(INDIRECT($A$2&amp;$AI184,TRUE),0),AN$2),"")</f>
        <v/>
      </c>
      <c r="AO184" s="6" t="str" cm="1">
        <f t="array" aca="1" ref="AO184" ca="1">IFERROR(INDEX(INDEX(INDIRECT($A$2&amp;$AI184,TRUE),0),AO$2),"")</f>
        <v/>
      </c>
      <c r="AP184" s="6" t="str" cm="1">
        <f t="array" aca="1" ref="AP184" ca="1">IFERROR(INDEX(INDEX(INDIRECT($A$2&amp;$AI184,TRUE),0),AP$2),"")</f>
        <v/>
      </c>
      <c r="AQ184" s="6" t="str" cm="1">
        <f t="array" aca="1" ref="AQ184" ca="1">IFERROR(INDEX(INDEX(INDIRECT($A$2&amp;$AI184,TRUE),0),AQ$2),"")</f>
        <v/>
      </c>
      <c r="AR184" s="6" t="str" cm="1">
        <f t="array" aca="1" ref="AR184" ca="1">IFERROR(INDEX(INDEX(INDIRECT($A$2&amp;$AI184,TRUE),0),AR$2),"")</f>
        <v/>
      </c>
      <c r="AS184" s="6" t="str" cm="1">
        <f t="array" aca="1" ref="AS184" ca="1">IFERROR(INDEX(INDEX(INDIRECT($A$2&amp;$AI184,TRUE),0),AS$2),"")</f>
        <v/>
      </c>
      <c r="AT184" s="6" t="str" cm="1">
        <f t="array" aca="1" ref="AT184" ca="1">IFERROR(INDEX(INDEX(INDIRECT($A$2&amp;$AI184,TRUE),0),AT$2),"")</f>
        <v/>
      </c>
      <c r="AU184" s="6"/>
    </row>
    <row r="185" spans="34:47">
      <c r="AH185" s="6">
        <v>4</v>
      </c>
      <c r="AI185" s="6" t="e">
        <f t="shared" si="113"/>
        <v>#N/A</v>
      </c>
      <c r="AJ185" s="6" t="s">
        <v>32</v>
      </c>
      <c r="AK185" s="6" t="str" cm="1">
        <f t="array" aca="1" ref="AK185" ca="1">IFERROR(INDEX(INDEX(INDIRECT($A$2&amp;$AI185,TRUE),0),AK$2),"")</f>
        <v/>
      </c>
      <c r="AL185" s="6" t="str" cm="1">
        <f t="array" aca="1" ref="AL185" ca="1">IFERROR(INDEX(INDEX(INDIRECT($A$2&amp;$AI185,TRUE),0),AL$2),"")</f>
        <v/>
      </c>
      <c r="AM185" s="6" t="str" cm="1">
        <f t="array" aca="1" ref="AM185" ca="1">IFERROR(INDEX(INDEX(INDIRECT($A$2&amp;$AI185,TRUE),0),AM$2),"")</f>
        <v/>
      </c>
      <c r="AN185" s="6" t="str" cm="1">
        <f t="array" aca="1" ref="AN185" ca="1">IFERROR(INDEX(INDEX(INDIRECT($A$2&amp;$AI185,TRUE),0),AN$2),"")</f>
        <v/>
      </c>
      <c r="AO185" s="6" t="str" cm="1">
        <f t="array" aca="1" ref="AO185" ca="1">IFERROR(INDEX(INDEX(INDIRECT($A$2&amp;$AI185,TRUE),0),AO$2),"")</f>
        <v/>
      </c>
      <c r="AP185" s="6" t="str" cm="1">
        <f t="array" aca="1" ref="AP185" ca="1">IFERROR(INDEX(INDEX(INDIRECT($A$2&amp;$AI185,TRUE),0),AP$2),"")</f>
        <v/>
      </c>
      <c r="AQ185" s="6" t="str" cm="1">
        <f t="array" aca="1" ref="AQ185" ca="1">IFERROR(INDEX(INDEX(INDIRECT($A$2&amp;$AI185,TRUE),0),AQ$2),"")</f>
        <v/>
      </c>
      <c r="AR185" s="6" t="str" cm="1">
        <f t="array" aca="1" ref="AR185" ca="1">IFERROR(INDEX(INDEX(INDIRECT($A$2&amp;$AI185,TRUE),0),AR$2),"")</f>
        <v/>
      </c>
      <c r="AS185" s="6" t="str" cm="1">
        <f t="array" aca="1" ref="AS185" ca="1">IFERROR(INDEX(INDEX(INDIRECT($A$2&amp;$AI185,TRUE),0),AS$2),"")</f>
        <v/>
      </c>
      <c r="AT185" s="6" t="str" cm="1">
        <f t="array" aca="1" ref="AT185" ca="1">IFERROR(INDEX(INDEX(INDIRECT($A$2&amp;$AI185,TRUE),0),AT$2),"")</f>
        <v/>
      </c>
      <c r="AU185" s="6"/>
    </row>
    <row r="186" spans="34:47">
      <c r="AH186" s="6">
        <v>5</v>
      </c>
      <c r="AI186" s="6" t="e">
        <f t="shared" si="113"/>
        <v>#N/A</v>
      </c>
      <c r="AJ186" s="6" t="s">
        <v>37</v>
      </c>
      <c r="AK186" s="6" t="str" cm="1">
        <f t="array" aca="1" ref="AK186" ca="1">IFERROR(INDEX(INDEX(INDIRECT($A$2&amp;$AI186,TRUE),0),AK$2),"")</f>
        <v/>
      </c>
      <c r="AL186" s="6" t="str" cm="1">
        <f t="array" aca="1" ref="AL186" ca="1">IFERROR(INDEX(INDEX(INDIRECT($A$2&amp;$AI186,TRUE),0),AL$2),"")</f>
        <v/>
      </c>
      <c r="AM186" s="6" t="str" cm="1">
        <f t="array" aca="1" ref="AM186" ca="1">IFERROR(INDEX(INDEX(INDIRECT($A$2&amp;$AI186,TRUE),0),AM$2),"")</f>
        <v/>
      </c>
      <c r="AN186" s="6" t="str" cm="1">
        <f t="array" aca="1" ref="AN186" ca="1">IFERROR(INDEX(INDEX(INDIRECT($A$2&amp;$AI186,TRUE),0),AN$2),"")</f>
        <v/>
      </c>
      <c r="AO186" s="6" t="str" cm="1">
        <f t="array" aca="1" ref="AO186" ca="1">IFERROR(INDEX(INDEX(INDIRECT($A$2&amp;$AI186,TRUE),0),AO$2),"")</f>
        <v/>
      </c>
      <c r="AP186" s="6" t="str" cm="1">
        <f t="array" aca="1" ref="AP186" ca="1">IFERROR(INDEX(INDEX(INDIRECT($A$2&amp;$AI186,TRUE),0),AP$2),"")</f>
        <v/>
      </c>
      <c r="AQ186" s="6" t="str" cm="1">
        <f t="array" aca="1" ref="AQ186" ca="1">IFERROR(INDEX(INDEX(INDIRECT($A$2&amp;$AI186,TRUE),0),AQ$2),"")</f>
        <v/>
      </c>
      <c r="AR186" s="6" t="str" cm="1">
        <f t="array" aca="1" ref="AR186" ca="1">IFERROR(INDEX(INDEX(INDIRECT($A$2&amp;$AI186,TRUE),0),AR$2),"")</f>
        <v/>
      </c>
      <c r="AS186" s="6" t="str" cm="1">
        <f t="array" aca="1" ref="AS186" ca="1">IFERROR(INDEX(INDEX(INDIRECT($A$2&amp;$AI186,TRUE),0),AS$2),"")</f>
        <v/>
      </c>
      <c r="AT186" s="6" t="str" cm="1">
        <f t="array" aca="1" ref="AT186" ca="1">IFERROR(INDEX(INDEX(INDIRECT($A$2&amp;$AI186,TRUE),0),AT$2),"")</f>
        <v/>
      </c>
      <c r="AU186" s="6"/>
    </row>
    <row r="187" spans="34:47">
      <c r="AH187" s="6">
        <v>6</v>
      </c>
      <c r="AI187" s="6" t="e">
        <f t="shared" si="113"/>
        <v>#N/A</v>
      </c>
      <c r="AJ187" s="6" t="s">
        <v>41</v>
      </c>
      <c r="AK187" s="6" t="str" cm="1">
        <f t="array" aca="1" ref="AK187" ca="1">IFERROR(INDEX(INDEX(INDIRECT($A$2&amp;$AI187,TRUE),0),AK$2),"")</f>
        <v/>
      </c>
      <c r="AL187" s="6" t="str" cm="1">
        <f t="array" aca="1" ref="AL187" ca="1">IFERROR(INDEX(INDEX(INDIRECT($A$2&amp;$AI187,TRUE),0),AL$2),"")</f>
        <v/>
      </c>
      <c r="AM187" s="6" t="str" cm="1">
        <f t="array" aca="1" ref="AM187" ca="1">IFERROR(INDEX(INDEX(INDIRECT($A$2&amp;$AI187,TRUE),0),AM$2),"")</f>
        <v/>
      </c>
      <c r="AN187" s="6" t="str" cm="1">
        <f t="array" aca="1" ref="AN187" ca="1">IFERROR(INDEX(INDEX(INDIRECT($A$2&amp;$AI187,TRUE),0),AN$2),"")</f>
        <v/>
      </c>
      <c r="AO187" s="6" t="str" cm="1">
        <f t="array" aca="1" ref="AO187" ca="1">IFERROR(INDEX(INDEX(INDIRECT($A$2&amp;$AI187,TRUE),0),AO$2),"")</f>
        <v/>
      </c>
      <c r="AP187" s="6" t="str" cm="1">
        <f t="array" aca="1" ref="AP187" ca="1">IFERROR(INDEX(INDEX(INDIRECT($A$2&amp;$AI187,TRUE),0),AP$2),"")</f>
        <v/>
      </c>
      <c r="AQ187" s="6" t="str" cm="1">
        <f t="array" aca="1" ref="AQ187" ca="1">IFERROR(INDEX(INDEX(INDIRECT($A$2&amp;$AI187,TRUE),0),AQ$2),"")</f>
        <v/>
      </c>
      <c r="AR187" s="6" t="str" cm="1">
        <f t="array" aca="1" ref="AR187" ca="1">IFERROR(INDEX(INDEX(INDIRECT($A$2&amp;$AI187,TRUE),0),AR$2),"")</f>
        <v/>
      </c>
      <c r="AS187" s="6" t="str" cm="1">
        <f t="array" aca="1" ref="AS187" ca="1">IFERROR(INDEX(INDEX(INDIRECT($A$2&amp;$AI187,TRUE),0),AS$2),"")</f>
        <v/>
      </c>
      <c r="AT187" s="6" t="str" cm="1">
        <f t="array" aca="1" ref="AT187" ca="1">IFERROR(INDEX(INDEX(INDIRECT($A$2&amp;$AI187,TRUE),0),AT$2),"")</f>
        <v/>
      </c>
      <c r="AU187" s="6"/>
    </row>
    <row r="188" spans="34:47">
      <c r="AI188" t="s">
        <v>63</v>
      </c>
      <c r="AJ188" s="8">
        <f>AJ181-1</f>
        <v>-26</v>
      </c>
      <c r="AK188" s="9" t="e">
        <f>" ("&amp;CHOOSE(WEEKDAY(AJ188,1),"日","月","火","水","木","金","土")&amp;")"</f>
        <v>#NUM!</v>
      </c>
      <c r="AL188" s="10"/>
      <c r="AM188" s="10"/>
      <c r="AN188" s="10"/>
      <c r="AO188" s="10"/>
      <c r="AP188" s="10"/>
      <c r="AQ188" s="10"/>
      <c r="AR188" s="10"/>
      <c r="AS188" s="10"/>
      <c r="AT188" s="10"/>
      <c r="AU188" s="6"/>
    </row>
    <row r="189" spans="34:47">
      <c r="AH189" s="6">
        <v>1</v>
      </c>
      <c r="AI189" s="6" t="e">
        <f>INDEX($T$4:$AE$32,MATCH($AJ$188,$B$4:$B$34,0),MATCH($AJ189,$T$3:$AE$3,0))</f>
        <v>#N/A</v>
      </c>
      <c r="AJ189" s="6" t="s">
        <v>19</v>
      </c>
      <c r="AK189" s="6" t="str" cm="1">
        <f t="array" aca="1" ref="AK189" ca="1">IFERROR(INDEX(INDEX(INDIRECT($A$2&amp;$AI189,TRUE),0),AK$2),"")</f>
        <v/>
      </c>
      <c r="AL189" s="6" t="str" cm="1">
        <f t="array" aca="1" ref="AL189" ca="1">IFERROR(INDEX(INDEX(INDIRECT($A$2&amp;$AI189,TRUE),0),AL$2),"")</f>
        <v/>
      </c>
      <c r="AM189" s="6" t="str" cm="1">
        <f t="array" aca="1" ref="AM189" ca="1">IFERROR(INDEX(INDEX(INDIRECT($A$2&amp;$AI189,TRUE),0),AM$2),"")</f>
        <v/>
      </c>
      <c r="AN189" s="6" t="str" cm="1">
        <f t="array" aca="1" ref="AN189" ca="1">IFERROR(INDEX(INDEX(INDIRECT($A$2&amp;$AI189,TRUE),0),AN$2),"")</f>
        <v/>
      </c>
      <c r="AO189" s="6" t="str" cm="1">
        <f t="array" aca="1" ref="AO189" ca="1">IFERROR(INDEX(INDEX(INDIRECT($A$2&amp;$AI189,TRUE),0),AO$2),"")</f>
        <v/>
      </c>
      <c r="AP189" s="6" t="str" cm="1">
        <f t="array" aca="1" ref="AP189" ca="1">IFERROR(INDEX(INDEX(INDIRECT($A$2&amp;$AI189,TRUE),0),AP$2),"")</f>
        <v/>
      </c>
      <c r="AQ189" s="6" t="str" cm="1">
        <f t="array" aca="1" ref="AQ189" ca="1">IFERROR(INDEX(INDEX(INDIRECT($A$2&amp;$AI189,TRUE),0),AQ$2),"")</f>
        <v/>
      </c>
      <c r="AR189" s="6" t="str" cm="1">
        <f t="array" aca="1" ref="AR189" ca="1">IFERROR(INDEX(INDEX(INDIRECT($A$2&amp;$AI189,TRUE),0),AR$2),"")</f>
        <v/>
      </c>
      <c r="AS189" s="6" t="str" cm="1">
        <f t="array" aca="1" ref="AS189" ca="1">IFERROR(INDEX(INDEX(INDIRECT($A$2&amp;$AI189,TRUE),0),AS$2),"")</f>
        <v/>
      </c>
      <c r="AT189" s="6" t="str" cm="1">
        <f t="array" aca="1" ref="AT189" ca="1">IFERROR(INDEX(INDEX(INDIRECT($A$2&amp;$AI189,TRUE),0),AT$2),"")</f>
        <v/>
      </c>
      <c r="AU189" s="6"/>
    </row>
    <row r="190" spans="34:47">
      <c r="AH190" s="6">
        <v>2</v>
      </c>
      <c r="AI190" s="6" t="e">
        <f t="shared" ref="AI190:AI194" si="114">INDEX($T$4:$AE$32,MATCH($AJ$188,$B$4:$B$34,0),MATCH($AJ190,$T$3:$AE$3,0))</f>
        <v>#N/A</v>
      </c>
      <c r="AJ190" s="6" t="s">
        <v>24</v>
      </c>
      <c r="AK190" s="6" t="str" cm="1">
        <f t="array" aca="1" ref="AK190" ca="1">IFERROR(INDEX(INDEX(INDIRECT($A$2&amp;$AI190,TRUE),0),AK$2),"")</f>
        <v/>
      </c>
      <c r="AL190" s="6" t="str" cm="1">
        <f t="array" aca="1" ref="AL190" ca="1">IFERROR(INDEX(INDEX(INDIRECT($A$2&amp;$AI190,TRUE),0),AL$2),"")</f>
        <v/>
      </c>
      <c r="AM190" s="6" t="str" cm="1">
        <f t="array" aca="1" ref="AM190" ca="1">IFERROR(INDEX(INDEX(INDIRECT($A$2&amp;$AI190,TRUE),0),AM$2),"")</f>
        <v/>
      </c>
      <c r="AN190" s="6" t="str" cm="1">
        <f t="array" aca="1" ref="AN190" ca="1">IFERROR(INDEX(INDEX(INDIRECT($A$2&amp;$AI190,TRUE),0),AN$2),"")</f>
        <v/>
      </c>
      <c r="AO190" s="6" t="str" cm="1">
        <f t="array" aca="1" ref="AO190" ca="1">IFERROR(INDEX(INDEX(INDIRECT($A$2&amp;$AI190,TRUE),0),AO$2),"")</f>
        <v/>
      </c>
      <c r="AP190" s="6" t="str" cm="1">
        <f t="array" aca="1" ref="AP190" ca="1">IFERROR(INDEX(INDEX(INDIRECT($A$2&amp;$AI190,TRUE),0),AP$2),"")</f>
        <v/>
      </c>
      <c r="AQ190" s="6" t="str" cm="1">
        <f t="array" aca="1" ref="AQ190" ca="1">IFERROR(INDEX(INDEX(INDIRECT($A$2&amp;$AI190,TRUE),0),AQ$2),"")</f>
        <v/>
      </c>
      <c r="AR190" s="6" t="str" cm="1">
        <f t="array" aca="1" ref="AR190" ca="1">IFERROR(INDEX(INDEX(INDIRECT($A$2&amp;$AI190,TRUE),0),AR$2),"")</f>
        <v/>
      </c>
      <c r="AS190" s="6" t="str" cm="1">
        <f t="array" aca="1" ref="AS190" ca="1">IFERROR(INDEX(INDEX(INDIRECT($A$2&amp;$AI190,TRUE),0),AS$2),"")</f>
        <v/>
      </c>
      <c r="AT190" s="6" t="str" cm="1">
        <f t="array" aca="1" ref="AT190" ca="1">IFERROR(INDEX(INDEX(INDIRECT($A$2&amp;$AI190,TRUE),0),AT$2),"")</f>
        <v/>
      </c>
      <c r="AU190" s="6"/>
    </row>
    <row r="191" spans="34:47">
      <c r="AH191" s="6">
        <v>3</v>
      </c>
      <c r="AI191" s="6" t="e">
        <f t="shared" si="114"/>
        <v>#N/A</v>
      </c>
      <c r="AJ191" s="6" t="s">
        <v>11</v>
      </c>
      <c r="AK191" s="6" t="str" cm="1">
        <f t="array" aca="1" ref="AK191" ca="1">IFERROR(INDEX(INDEX(INDIRECT($A$2&amp;$AI191,TRUE),0),AK$2),"")</f>
        <v/>
      </c>
      <c r="AL191" s="6" t="str" cm="1">
        <f t="array" aca="1" ref="AL191" ca="1">IFERROR(INDEX(INDEX(INDIRECT($A$2&amp;$AI191,TRUE),0),AL$2),"")</f>
        <v/>
      </c>
      <c r="AM191" s="6" t="str" cm="1">
        <f t="array" aca="1" ref="AM191" ca="1">IFERROR(INDEX(INDEX(INDIRECT($A$2&amp;$AI191,TRUE),0),AM$2),"")</f>
        <v/>
      </c>
      <c r="AN191" s="6" t="str" cm="1">
        <f t="array" aca="1" ref="AN191" ca="1">IFERROR(INDEX(INDEX(INDIRECT($A$2&amp;$AI191,TRUE),0),AN$2),"")</f>
        <v/>
      </c>
      <c r="AO191" s="6" t="str" cm="1">
        <f t="array" aca="1" ref="AO191" ca="1">IFERROR(INDEX(INDEX(INDIRECT($A$2&amp;$AI191,TRUE),0),AO$2),"")</f>
        <v/>
      </c>
      <c r="AP191" s="6" t="str" cm="1">
        <f t="array" aca="1" ref="AP191" ca="1">IFERROR(INDEX(INDEX(INDIRECT($A$2&amp;$AI191,TRUE),0),AP$2),"")</f>
        <v/>
      </c>
      <c r="AQ191" s="6" t="str" cm="1">
        <f t="array" aca="1" ref="AQ191" ca="1">IFERROR(INDEX(INDEX(INDIRECT($A$2&amp;$AI191,TRUE),0),AQ$2),"")</f>
        <v/>
      </c>
      <c r="AR191" s="6" t="str" cm="1">
        <f t="array" aca="1" ref="AR191" ca="1">IFERROR(INDEX(INDEX(INDIRECT($A$2&amp;$AI191,TRUE),0),AR$2),"")</f>
        <v/>
      </c>
      <c r="AS191" s="6" t="str" cm="1">
        <f t="array" aca="1" ref="AS191" ca="1">IFERROR(INDEX(INDEX(INDIRECT($A$2&amp;$AI191,TRUE),0),AS$2),"")</f>
        <v/>
      </c>
      <c r="AT191" s="6" t="str" cm="1">
        <f t="array" aca="1" ref="AT191" ca="1">IFERROR(INDEX(INDEX(INDIRECT($A$2&amp;$AI191,TRUE),0),AT$2),"")</f>
        <v/>
      </c>
      <c r="AU191" s="6"/>
    </row>
    <row r="192" spans="34:47">
      <c r="AH192" s="6">
        <v>4</v>
      </c>
      <c r="AI192" s="6" t="e">
        <f t="shared" si="114"/>
        <v>#N/A</v>
      </c>
      <c r="AJ192" s="6" t="s">
        <v>32</v>
      </c>
      <c r="AK192" s="6" t="str" cm="1">
        <f t="array" aca="1" ref="AK192" ca="1">IFERROR(INDEX(INDEX(INDIRECT($A$2&amp;$AI192,TRUE),0),AK$2),"")</f>
        <v/>
      </c>
      <c r="AL192" s="6" t="str" cm="1">
        <f t="array" aca="1" ref="AL192" ca="1">IFERROR(INDEX(INDEX(INDIRECT($A$2&amp;$AI192,TRUE),0),AL$2),"")</f>
        <v/>
      </c>
      <c r="AM192" s="6" t="str" cm="1">
        <f t="array" aca="1" ref="AM192" ca="1">IFERROR(INDEX(INDEX(INDIRECT($A$2&amp;$AI192,TRUE),0),AM$2),"")</f>
        <v/>
      </c>
      <c r="AN192" s="6" t="str" cm="1">
        <f t="array" aca="1" ref="AN192" ca="1">IFERROR(INDEX(INDEX(INDIRECT($A$2&amp;$AI192,TRUE),0),AN$2),"")</f>
        <v/>
      </c>
      <c r="AO192" s="6" t="str" cm="1">
        <f t="array" aca="1" ref="AO192" ca="1">IFERROR(INDEX(INDEX(INDIRECT($A$2&amp;$AI192,TRUE),0),AO$2),"")</f>
        <v/>
      </c>
      <c r="AP192" s="6" t="str" cm="1">
        <f t="array" aca="1" ref="AP192" ca="1">IFERROR(INDEX(INDEX(INDIRECT($A$2&amp;$AI192,TRUE),0),AP$2),"")</f>
        <v/>
      </c>
      <c r="AQ192" s="6" t="str" cm="1">
        <f t="array" aca="1" ref="AQ192" ca="1">IFERROR(INDEX(INDEX(INDIRECT($A$2&amp;$AI192,TRUE),0),AQ$2),"")</f>
        <v/>
      </c>
      <c r="AR192" s="6" t="str" cm="1">
        <f t="array" aca="1" ref="AR192" ca="1">IFERROR(INDEX(INDEX(INDIRECT($A$2&amp;$AI192,TRUE),0),AR$2),"")</f>
        <v/>
      </c>
      <c r="AS192" s="6" t="str" cm="1">
        <f t="array" aca="1" ref="AS192" ca="1">IFERROR(INDEX(INDEX(INDIRECT($A$2&amp;$AI192,TRUE),0),AS$2),"")</f>
        <v/>
      </c>
      <c r="AT192" s="6" t="str" cm="1">
        <f t="array" aca="1" ref="AT192" ca="1">IFERROR(INDEX(INDEX(INDIRECT($A$2&amp;$AI192,TRUE),0),AT$2),"")</f>
        <v/>
      </c>
      <c r="AU192" s="6"/>
    </row>
    <row r="193" spans="34:47">
      <c r="AH193" s="6">
        <v>5</v>
      </c>
      <c r="AI193" s="6" t="e">
        <f t="shared" si="114"/>
        <v>#N/A</v>
      </c>
      <c r="AJ193" s="6" t="s">
        <v>37</v>
      </c>
      <c r="AK193" s="6" t="str" cm="1">
        <f t="array" aca="1" ref="AK193" ca="1">IFERROR(INDEX(INDEX(INDIRECT($A$2&amp;$AI193,TRUE),0),AK$2),"")</f>
        <v/>
      </c>
      <c r="AL193" s="6" t="str" cm="1">
        <f t="array" aca="1" ref="AL193" ca="1">IFERROR(INDEX(INDEX(INDIRECT($A$2&amp;$AI193,TRUE),0),AL$2),"")</f>
        <v/>
      </c>
      <c r="AM193" s="6" t="str" cm="1">
        <f t="array" aca="1" ref="AM193" ca="1">IFERROR(INDEX(INDEX(INDIRECT($A$2&amp;$AI193,TRUE),0),AM$2),"")</f>
        <v/>
      </c>
      <c r="AN193" s="6" t="str" cm="1">
        <f t="array" aca="1" ref="AN193" ca="1">IFERROR(INDEX(INDEX(INDIRECT($A$2&amp;$AI193,TRUE),0),AN$2),"")</f>
        <v/>
      </c>
      <c r="AO193" s="6" t="str" cm="1">
        <f t="array" aca="1" ref="AO193" ca="1">IFERROR(INDEX(INDEX(INDIRECT($A$2&amp;$AI193,TRUE),0),AO$2),"")</f>
        <v/>
      </c>
      <c r="AP193" s="6" t="str" cm="1">
        <f t="array" aca="1" ref="AP193" ca="1">IFERROR(INDEX(INDEX(INDIRECT($A$2&amp;$AI193,TRUE),0),AP$2),"")</f>
        <v/>
      </c>
      <c r="AQ193" s="6" t="str" cm="1">
        <f t="array" aca="1" ref="AQ193" ca="1">IFERROR(INDEX(INDEX(INDIRECT($A$2&amp;$AI193,TRUE),0),AQ$2),"")</f>
        <v/>
      </c>
      <c r="AR193" s="6" t="str" cm="1">
        <f t="array" aca="1" ref="AR193" ca="1">IFERROR(INDEX(INDEX(INDIRECT($A$2&amp;$AI193,TRUE),0),AR$2),"")</f>
        <v/>
      </c>
      <c r="AS193" s="6" t="str" cm="1">
        <f t="array" aca="1" ref="AS193" ca="1">IFERROR(INDEX(INDEX(INDIRECT($A$2&amp;$AI193,TRUE),0),AS$2),"")</f>
        <v/>
      </c>
      <c r="AT193" s="6" t="str" cm="1">
        <f t="array" aca="1" ref="AT193" ca="1">IFERROR(INDEX(INDEX(INDIRECT($A$2&amp;$AI193,TRUE),0),AT$2),"")</f>
        <v/>
      </c>
      <c r="AU193" s="6"/>
    </row>
    <row r="194" spans="34:47">
      <c r="AH194" s="6">
        <v>6</v>
      </c>
      <c r="AI194" s="6" t="e">
        <f t="shared" si="114"/>
        <v>#N/A</v>
      </c>
      <c r="AJ194" s="6" t="s">
        <v>41</v>
      </c>
      <c r="AK194" s="6" t="str" cm="1">
        <f t="array" aca="1" ref="AK194" ca="1">IFERROR(INDEX(INDEX(INDIRECT($A$2&amp;$AI194,TRUE),0),AK$2),"")</f>
        <v/>
      </c>
      <c r="AL194" s="6" t="str" cm="1">
        <f t="array" aca="1" ref="AL194" ca="1">IFERROR(INDEX(INDEX(INDIRECT($A$2&amp;$AI194,TRUE),0),AL$2),"")</f>
        <v/>
      </c>
      <c r="AM194" s="6" t="str" cm="1">
        <f t="array" aca="1" ref="AM194" ca="1">IFERROR(INDEX(INDEX(INDIRECT($A$2&amp;$AI194,TRUE),0),AM$2),"")</f>
        <v/>
      </c>
      <c r="AN194" s="6" t="str" cm="1">
        <f t="array" aca="1" ref="AN194" ca="1">IFERROR(INDEX(INDEX(INDIRECT($A$2&amp;$AI194,TRUE),0),AN$2),"")</f>
        <v/>
      </c>
      <c r="AO194" s="6" t="str" cm="1">
        <f t="array" aca="1" ref="AO194" ca="1">IFERROR(INDEX(INDEX(INDIRECT($A$2&amp;$AI194,TRUE),0),AO$2),"")</f>
        <v/>
      </c>
      <c r="AP194" s="6" t="str" cm="1">
        <f t="array" aca="1" ref="AP194" ca="1">IFERROR(INDEX(INDEX(INDIRECT($A$2&amp;$AI194,TRUE),0),AP$2),"")</f>
        <v/>
      </c>
      <c r="AQ194" s="6" t="str" cm="1">
        <f t="array" aca="1" ref="AQ194" ca="1">IFERROR(INDEX(INDEX(INDIRECT($A$2&amp;$AI194,TRUE),0),AQ$2),"")</f>
        <v/>
      </c>
      <c r="AR194" s="6" t="str" cm="1">
        <f t="array" aca="1" ref="AR194" ca="1">IFERROR(INDEX(INDEX(INDIRECT($A$2&amp;$AI194,TRUE),0),AR$2),"")</f>
        <v/>
      </c>
      <c r="AS194" s="6" t="str" cm="1">
        <f t="array" aca="1" ref="AS194" ca="1">IFERROR(INDEX(INDEX(INDIRECT($A$2&amp;$AI194,TRUE),0),AS$2),"")</f>
        <v/>
      </c>
      <c r="AT194" s="6" t="str" cm="1">
        <f t="array" aca="1" ref="AT194" ca="1">IFERROR(INDEX(INDEX(INDIRECT($A$2&amp;$AI194,TRUE),0),AT$2),"")</f>
        <v/>
      </c>
      <c r="AU194" s="6"/>
    </row>
    <row r="195" spans="34:47">
      <c r="AJ195" s="20"/>
      <c r="AU195" s="6"/>
    </row>
    <row r="196" spans="34:47">
      <c r="AU196" s="6"/>
    </row>
    <row r="197" spans="34:47">
      <c r="AU197" s="6"/>
    </row>
    <row r="198" spans="34:47">
      <c r="AU198" s="6"/>
    </row>
    <row r="199" spans="34:47">
      <c r="AU199" s="6"/>
    </row>
    <row r="200" spans="34:47">
      <c r="AU200" s="6"/>
    </row>
    <row r="201" spans="34:47">
      <c r="AU201" s="6"/>
    </row>
    <row r="202" spans="34:47">
      <c r="AJ202" s="20"/>
      <c r="AU202" s="6"/>
    </row>
    <row r="203" spans="34:47">
      <c r="AU203" s="6"/>
    </row>
    <row r="204" spans="34:47">
      <c r="AU204" s="6"/>
    </row>
    <row r="205" spans="34:47">
      <c r="AU205" s="6"/>
    </row>
    <row r="206" spans="34:47">
      <c r="AU206" s="6"/>
    </row>
    <row r="207" spans="34:47">
      <c r="AU207" s="6"/>
    </row>
    <row r="208" spans="34:47">
      <c r="AU208" s="6"/>
    </row>
    <row r="209" spans="36:47">
      <c r="AJ209" s="20"/>
      <c r="AU209" s="6"/>
    </row>
    <row r="210" spans="36:47">
      <c r="AU210" s="6"/>
    </row>
    <row r="211" spans="36:47">
      <c r="AU211" s="6"/>
    </row>
    <row r="212" spans="36:47">
      <c r="AU212" s="6"/>
    </row>
    <row r="213" spans="36:47">
      <c r="AU213" s="6"/>
    </row>
    <row r="214" spans="36:47">
      <c r="AU214" s="6"/>
    </row>
    <row r="215" spans="36:47">
      <c r="AU215" s="6"/>
    </row>
    <row r="216" spans="36:47">
      <c r="AJ216" s="20"/>
      <c r="AU216" s="6"/>
    </row>
    <row r="217" spans="36:47">
      <c r="AU217" s="6"/>
    </row>
    <row r="218" spans="36:47">
      <c r="AU218" s="6"/>
    </row>
    <row r="219" spans="36:47">
      <c r="AU219" s="6"/>
    </row>
    <row r="220" spans="36:47">
      <c r="AU220" s="6"/>
    </row>
    <row r="221" spans="36:47">
      <c r="AU221" s="6"/>
    </row>
    <row r="222" spans="36:47">
      <c r="AU222" s="6"/>
    </row>
    <row r="223" spans="36:47">
      <c r="AU223" s="6"/>
    </row>
    <row r="224" spans="36:47">
      <c r="AU224" s="6"/>
    </row>
    <row r="225" spans="36:47">
      <c r="AU225" s="6"/>
    </row>
    <row r="226" spans="36:47">
      <c r="AJ226" s="20"/>
      <c r="AU226" s="6"/>
    </row>
    <row r="227" spans="36:47">
      <c r="AU227" s="6"/>
    </row>
    <row r="228" spans="36:47">
      <c r="AU228" s="6"/>
    </row>
    <row r="229" spans="36:47">
      <c r="AU229" s="6"/>
    </row>
    <row r="230" spans="36:47">
      <c r="AU230" s="6"/>
    </row>
    <row r="231" spans="36:47">
      <c r="AU231" s="6"/>
    </row>
    <row r="232" spans="36:47">
      <c r="AU232" s="6"/>
    </row>
    <row r="233" spans="36:47">
      <c r="AU233" s="6"/>
    </row>
    <row r="234" spans="36:47">
      <c r="AU234" s="6"/>
    </row>
    <row r="235" spans="36:47">
      <c r="AU235" s="6"/>
    </row>
    <row r="236" spans="36:47">
      <c r="AJ236" s="20"/>
      <c r="AU236" s="6"/>
    </row>
    <row r="237" spans="36:47">
      <c r="AU237" s="6"/>
    </row>
    <row r="238" spans="36:47">
      <c r="AU238" s="6"/>
    </row>
    <row r="239" spans="36:47">
      <c r="AU239" s="6"/>
    </row>
    <row r="240" spans="36:47">
      <c r="AU240" s="6"/>
    </row>
    <row r="241" spans="36:47">
      <c r="AU241" s="6"/>
    </row>
    <row r="242" spans="36:47">
      <c r="AU242" s="6"/>
    </row>
    <row r="243" spans="36:47">
      <c r="AU243" s="6"/>
    </row>
    <row r="244" spans="36:47">
      <c r="AU244" s="6"/>
    </row>
    <row r="245" spans="36:47">
      <c r="AU245" s="6"/>
    </row>
    <row r="246" spans="36:47">
      <c r="AJ246" s="20"/>
      <c r="AU246" s="6"/>
    </row>
    <row r="247" spans="36:47">
      <c r="AU247" s="6"/>
    </row>
    <row r="248" spans="36:47">
      <c r="AU248" s="6"/>
    </row>
    <row r="249" spans="36:47">
      <c r="AU249" s="6"/>
    </row>
    <row r="250" spans="36:47">
      <c r="AU250" s="6"/>
    </row>
    <row r="251" spans="36:47">
      <c r="AU251" s="6"/>
    </row>
    <row r="252" spans="36:47">
      <c r="AU252" s="6"/>
    </row>
    <row r="253" spans="36:47">
      <c r="AU253" s="6"/>
    </row>
    <row r="254" spans="36:47">
      <c r="AU254" s="6"/>
    </row>
    <row r="255" spans="36:47">
      <c r="AU255" s="6"/>
    </row>
    <row r="256" spans="36:47">
      <c r="AJ256" s="20"/>
      <c r="AU256" s="6"/>
    </row>
    <row r="257" spans="36:47">
      <c r="AU257" s="6"/>
    </row>
    <row r="258" spans="36:47">
      <c r="AU258" s="6"/>
    </row>
    <row r="259" spans="36:47">
      <c r="AU259" s="6"/>
    </row>
    <row r="260" spans="36:47">
      <c r="AU260" s="6"/>
    </row>
    <row r="261" spans="36:47">
      <c r="AU261" s="6"/>
    </row>
    <row r="262" spans="36:47">
      <c r="AU262" s="6"/>
    </row>
    <row r="263" spans="36:47">
      <c r="AU263" s="6"/>
    </row>
    <row r="264" spans="36:47">
      <c r="AU264" s="6"/>
    </row>
    <row r="265" spans="36:47">
      <c r="AU265" s="6"/>
    </row>
    <row r="266" spans="36:47">
      <c r="AJ266" s="20"/>
      <c r="AU266" s="6"/>
    </row>
    <row r="267" spans="36:47">
      <c r="AU267" s="6"/>
    </row>
    <row r="268" spans="36:47">
      <c r="AU268" s="6"/>
    </row>
    <row r="269" spans="36:47">
      <c r="AU269" s="6"/>
    </row>
    <row r="270" spans="36:47">
      <c r="AU270" s="6"/>
    </row>
    <row r="271" spans="36:47">
      <c r="AU271" s="6"/>
    </row>
    <row r="272" spans="36:47">
      <c r="AU272" s="6"/>
    </row>
    <row r="273" spans="36:47">
      <c r="AU273" s="6"/>
    </row>
    <row r="274" spans="36:47">
      <c r="AU274" s="6"/>
    </row>
    <row r="275" spans="36:47">
      <c r="AU275" s="6"/>
    </row>
    <row r="276" spans="36:47">
      <c r="AJ276" s="20"/>
      <c r="AU276" s="6"/>
    </row>
    <row r="277" spans="36:47">
      <c r="AU277" s="6"/>
    </row>
    <row r="278" spans="36:47">
      <c r="AU278" s="6"/>
    </row>
    <row r="279" spans="36:47">
      <c r="AU279" s="6"/>
    </row>
    <row r="280" spans="36:47">
      <c r="AU280" s="6"/>
    </row>
    <row r="281" spans="36:47">
      <c r="AU281" s="6"/>
    </row>
    <row r="282" spans="36:47">
      <c r="AU282" s="6"/>
    </row>
    <row r="283" spans="36:47">
      <c r="AU283" s="6"/>
    </row>
    <row r="284" spans="36:47">
      <c r="AU284" s="6"/>
    </row>
    <row r="285" spans="36:47">
      <c r="AU285" s="6"/>
    </row>
    <row r="286" spans="36:47">
      <c r="AJ286" s="20"/>
      <c r="AU286" s="6"/>
    </row>
    <row r="287" spans="36:47">
      <c r="AU287" s="6"/>
    </row>
    <row r="288" spans="36:47">
      <c r="AU288" s="6"/>
    </row>
    <row r="289" spans="36:47">
      <c r="AU289" s="6"/>
    </row>
    <row r="290" spans="36:47">
      <c r="AU290" s="6"/>
    </row>
    <row r="291" spans="36:47">
      <c r="AU291" s="6"/>
    </row>
    <row r="292" spans="36:47">
      <c r="AU292" s="6"/>
    </row>
    <row r="293" spans="36:47">
      <c r="AU293" s="6"/>
    </row>
    <row r="294" spans="36:47">
      <c r="AU294" s="6"/>
    </row>
    <row r="295" spans="36:47">
      <c r="AU295" s="6"/>
    </row>
    <row r="296" spans="36:47">
      <c r="AJ296" s="20"/>
      <c r="AU296" s="6"/>
    </row>
    <row r="297" spans="36:47">
      <c r="AU297" s="6"/>
    </row>
    <row r="298" spans="36:47">
      <c r="AU298" s="6"/>
    </row>
    <row r="299" spans="36:47">
      <c r="AU299" s="6"/>
    </row>
    <row r="300" spans="36:47">
      <c r="AU300" s="6"/>
    </row>
    <row r="301" spans="36:47">
      <c r="AU301" s="6"/>
    </row>
    <row r="302" spans="36:47">
      <c r="AU302" s="6"/>
    </row>
    <row r="303" spans="36:47">
      <c r="AU303" s="6"/>
    </row>
    <row r="304" spans="36:47">
      <c r="AU304" s="6"/>
    </row>
    <row r="305" spans="36:47">
      <c r="AU305" s="6"/>
    </row>
    <row r="306" spans="36:47">
      <c r="AJ306" s="20"/>
      <c r="AU306" s="6"/>
    </row>
    <row r="307" spans="36:47">
      <c r="AU307" s="6"/>
    </row>
    <row r="308" spans="36:47">
      <c r="AU308" s="6"/>
    </row>
    <row r="309" spans="36:47">
      <c r="AU309" s="6"/>
    </row>
    <row r="310" spans="36:47">
      <c r="AU310" s="6"/>
    </row>
    <row r="311" spans="36:47">
      <c r="AU311" s="6"/>
    </row>
    <row r="312" spans="36:47">
      <c r="AU312" s="6"/>
    </row>
    <row r="313" spans="36:47">
      <c r="AU313" s="6"/>
    </row>
    <row r="314" spans="36:47">
      <c r="AU314" s="6"/>
    </row>
    <row r="315" spans="36:47">
      <c r="AU315" s="6"/>
    </row>
    <row r="316" spans="36:47">
      <c r="AJ316" s="20"/>
      <c r="AU316" s="6"/>
    </row>
    <row r="317" spans="36:47">
      <c r="AU317" s="6"/>
    </row>
    <row r="318" spans="36:47">
      <c r="AU318" s="6"/>
    </row>
    <row r="319" spans="36:47">
      <c r="AU319" s="6"/>
    </row>
    <row r="320" spans="36:47">
      <c r="AU320" s="6"/>
    </row>
    <row r="321" spans="36:47">
      <c r="AU321" s="6"/>
    </row>
    <row r="322" spans="36:47">
      <c r="AU322" s="6"/>
    </row>
    <row r="323" spans="36:47">
      <c r="AU323" s="6"/>
    </row>
    <row r="324" spans="36:47">
      <c r="AU324" s="6"/>
    </row>
    <row r="325" spans="36:47">
      <c r="AU325" s="6"/>
    </row>
    <row r="326" spans="36:47">
      <c r="AJ326" s="20"/>
      <c r="AU326" s="6"/>
    </row>
    <row r="327" spans="36:47">
      <c r="AU327" s="6"/>
    </row>
    <row r="328" spans="36:47">
      <c r="AU328" s="6"/>
    </row>
    <row r="329" spans="36:47">
      <c r="AU329" s="6"/>
    </row>
    <row r="330" spans="36:47">
      <c r="AU330" s="6"/>
    </row>
    <row r="331" spans="36:47">
      <c r="AU331" s="6"/>
    </row>
    <row r="332" spans="36:47">
      <c r="AU332" s="6"/>
    </row>
    <row r="333" spans="36:47">
      <c r="AU333" s="6"/>
    </row>
    <row r="334" spans="36:47">
      <c r="AU334" s="6"/>
    </row>
    <row r="335" spans="36:47">
      <c r="AU335" s="6"/>
    </row>
    <row r="336" spans="36:47">
      <c r="AJ336" s="20"/>
      <c r="AU336" s="6"/>
    </row>
    <row r="337" spans="47:47">
      <c r="AU337" s="6"/>
    </row>
    <row r="338" spans="47:47">
      <c r="AU338" s="6"/>
    </row>
    <row r="339" spans="47:47">
      <c r="AU339" s="6"/>
    </row>
    <row r="340" spans="47:47">
      <c r="AU340" s="6"/>
    </row>
    <row r="341" spans="47:47">
      <c r="AU341" s="6"/>
    </row>
    <row r="342" spans="47:47">
      <c r="AU342" s="6"/>
    </row>
    <row r="343" spans="47:47">
      <c r="AU343" s="6"/>
    </row>
    <row r="344" spans="47:47">
      <c r="AU344" s="6"/>
    </row>
    <row r="345" spans="47:47">
      <c r="AU345" s="6"/>
    </row>
  </sheetData>
  <sortState xmlns:xlrd2="http://schemas.microsoft.com/office/spreadsheetml/2017/richdata2" ref="CF4:CF12">
    <sortCondition ref="CF4:CF12" customList="ツイストⅠ,１Ｐ,3P,ツイストⅡ,茶Ⅰ.茶Ⅱ"/>
  </sortState>
  <mergeCells count="3">
    <mergeCell ref="D3:E3"/>
    <mergeCell ref="F1:Q1"/>
    <mergeCell ref="T2:AB2"/>
  </mergeCells>
  <phoneticPr fontId="1"/>
  <pageMargins left="0.7" right="0.7" top="0.75" bottom="0.75" header="0.3" footer="0.3"/>
  <pageSetup paperSize="9" scale="76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P48"/>
  <sheetViews>
    <sheetView zoomScaleNormal="100" workbookViewId="0">
      <selection activeCell="D38" sqref="D38"/>
    </sheetView>
  </sheetViews>
  <sheetFormatPr defaultRowHeight="18.75"/>
  <cols>
    <col min="1" max="1" width="11" bestFit="1" customWidth="1"/>
    <col min="2" max="2" width="12.375" customWidth="1"/>
    <col min="3" max="3" width="15.5" bestFit="1" customWidth="1"/>
    <col min="4" max="4" width="14.25" bestFit="1" customWidth="1"/>
    <col min="5" max="6" width="15.5" customWidth="1"/>
    <col min="7" max="7" width="10.25" bestFit="1" customWidth="1"/>
    <col min="8" max="8" width="15.5" customWidth="1"/>
    <col min="9" max="10" width="9" bestFit="1" customWidth="1"/>
    <col min="11" max="11" width="10.25" bestFit="1" customWidth="1"/>
    <col min="12" max="16" width="9" customWidth="1"/>
  </cols>
  <sheetData>
    <row r="1" spans="1:16">
      <c r="A1" s="30" t="s">
        <v>195</v>
      </c>
      <c r="B1" t="s">
        <v>58</v>
      </c>
      <c r="D1" t="s">
        <v>194</v>
      </c>
      <c r="E1" t="s">
        <v>55</v>
      </c>
      <c r="F1" t="s">
        <v>56</v>
      </c>
      <c r="G1" t="s">
        <v>186</v>
      </c>
      <c r="H1" t="s">
        <v>187</v>
      </c>
      <c r="I1" t="s">
        <v>188</v>
      </c>
      <c r="J1" t="s">
        <v>196</v>
      </c>
    </row>
    <row r="2" spans="1:16">
      <c r="A2" s="31"/>
      <c r="B2" s="1" t="str">
        <f>日毎の人員構成・人員別日毎の従事ライン!A2</f>
        <v>Records!</v>
      </c>
      <c r="C2" t="s">
        <v>185</v>
      </c>
      <c r="D2" s="1">
        <f>IF(ISBLANK(A2),MAX(テーブル1[[#All],[日付]]),A2)</f>
        <v>0</v>
      </c>
      <c r="E2" t="e">
        <f>MATCH(D2,テーブル1[[#All],[日付]],0)</f>
        <v>#N/A</v>
      </c>
      <c r="F2" t="e">
        <f>ADDRESS(MATCH($D$2,テーブル1[[#All],[日付]],0),2,1)&amp;":"&amp;ADDRESS(MATCH(ライン構成と人員別統計情報!$D$2,テーブル1[[#All],[日付]],0)+COUNTIF(テーブル1[[#All],[日付]],ライン構成と人員別統計情報!$D$2)-1,3,1)</f>
        <v>#N/A</v>
      </c>
      <c r="G2" t="s">
        <v>201</v>
      </c>
      <c r="H2" cm="1">
        <f t="array" aca="1" ref="H2" ca="1">CELL("row",INDIRECT($C$2&amp;$G$2))</f>
        <v>6</v>
      </c>
      <c r="I2" cm="1">
        <f t="array" aca="1" ref="I2" ca="1">CELL("col",INDIRECT($C$2&amp;$G$2))</f>
        <v>49</v>
      </c>
      <c r="J2">
        <f>MATCH(D2,日毎の人員構成・人員別日毎の従事ライン!$AX$5:$BZ$5,0)</f>
        <v>1</v>
      </c>
    </row>
    <row r="3" spans="1:16">
      <c r="A3" s="1"/>
      <c r="C3" s="1"/>
    </row>
    <row r="4" spans="1:16" ht="30">
      <c r="A4" s="1"/>
      <c r="B4" s="29" t="str">
        <f>MONTH(D2)&amp;"月"&amp;DAY(D2)&amp;"日("&amp;CHOOSE(WEEKDAY($D$2,2),"月","火","水","木","金","土","日")&amp;")のライン構成と人員別統計情報"</f>
        <v>1月0日(土)のライン構成と人員別統計情報</v>
      </c>
      <c r="C4" s="1"/>
    </row>
    <row r="5" spans="1:16" ht="18.75" customHeight="1">
      <c r="A5" s="1"/>
      <c r="B5" t="str">
        <f ca="1">"集計期間 "&amp;YEAR(D2)&amp;"年"&amp;MONTH(D2)&amp;"月"&amp;DAY(D2)&amp;"日 ～ "&amp;YEAR(MIN(テーブル1[[#All],[日付]]))&amp;"年"&amp;MONTH(MIN(テーブル1[[#All],[日付]]))&amp;"月"&amp;DAY(MIN(テーブル1[[#All],[日付]]))&amp;"日"&amp;管理!$D$1</f>
        <v>集計期間 1900年1月0日 ～ 1900年1月0日*</v>
      </c>
      <c r="C5" s="29"/>
      <c r="D5" s="29"/>
      <c r="E5" s="29"/>
      <c r="F5" s="1"/>
      <c r="K5" t="s">
        <v>190</v>
      </c>
    </row>
    <row r="6" spans="1:16" ht="18.75" customHeight="1">
      <c r="B6" s="29"/>
      <c r="C6" s="29"/>
      <c r="D6" s="29"/>
      <c r="E6" s="29"/>
      <c r="G6" t="s">
        <v>193</v>
      </c>
      <c r="H6" t="s">
        <v>192</v>
      </c>
      <c r="I6" t="s">
        <v>191</v>
      </c>
      <c r="J6" t="s">
        <v>189</v>
      </c>
      <c r="K6">
        <v>2</v>
      </c>
      <c r="L6">
        <v>3</v>
      </c>
      <c r="M6">
        <v>4</v>
      </c>
      <c r="N6">
        <v>5</v>
      </c>
      <c r="O6">
        <v>6</v>
      </c>
      <c r="P6">
        <v>7</v>
      </c>
    </row>
    <row r="7" spans="1:16">
      <c r="A7">
        <v>1</v>
      </c>
      <c r="B7" t="str">
        <f ca="1">IFERROR(INDEX(INDEX(INDIRECT($B$2&amp;$F$2),0,1),$A7),"")</f>
        <v/>
      </c>
      <c r="C7" t="str">
        <f ca="1">IFERROR(INDEX(INDEX(INDIRECT($B$2&amp;$F$2),0,2),$A7),"")</f>
        <v/>
      </c>
      <c r="D7" t="str">
        <f ca="1">IF(B7="","",IF(ISNA(I7),"久し",IF(I7=1,"昨日",I7&amp;"日"))&amp;"ぶり"&amp;IF(J7&lt;&gt;1,J7&amp;"回目",""))</f>
        <v/>
      </c>
      <c r="E7" t="str">
        <f ca="1">IF(B7="","",IF(MAX(K7:P7)=0,"","連続"&amp;MAX(K7:P7)&amp;"日"))</f>
        <v/>
      </c>
      <c r="G7" t="e">
        <f t="shared" ref="G7:G38" ca="1" si="0">MATCH(C7,INDIRECT($C$2&amp;$G$2),0)</f>
        <v>#N/A</v>
      </c>
      <c r="H7" t="e">
        <f ca="1">ADDRESS($H$2+$G7-1,$I$2+$J$2+1)&amp;":"&amp;ADDRESS($H$2+$G7-1,$I$2+29)</f>
        <v>#N/A</v>
      </c>
      <c r="I7" t="e">
        <f t="shared" ref="I7:I38" ca="1" si="1">MATCH(B7,INDIRECT($C$2&amp;H7),0)</f>
        <v>#N/A</v>
      </c>
      <c r="J7" t="e">
        <f t="shared" ref="J7:J38" ca="1" si="2">COUNTIF(INDIRECT($C$2&amp;H7),B7)+1</f>
        <v>#N/A</v>
      </c>
      <c r="K7" t="e" cm="1">
        <f t="array" aca="1" ref="K7" ca="1">IF(INDIRECT($C$2&amp;ADDRESS($H$2+$G7-1,$I$2+$J$2+K$6-1))=$B7,K$6,"")</f>
        <v>#N/A</v>
      </c>
      <c r="L7" t="e" cm="1">
        <f t="array" aca="1" ref="L7" ca="1">IF(AND(K7&lt;&gt;"",INDIRECT($C$2&amp;ADDRESS($H$2+$G7-1,$I$2+$J$2+L$6-1))=$B7),L$6,"")</f>
        <v>#N/A</v>
      </c>
      <c r="M7" t="e" cm="1">
        <f t="array" aca="1" ref="M7" ca="1">IF(AND(L7&lt;&gt;"",INDIRECT($C$2&amp;ADDRESS($H$2+$G7-1,$I$2+$J$2+M$6-1))=$B7),M$6,"")</f>
        <v>#N/A</v>
      </c>
      <c r="N7" t="e" cm="1">
        <f t="array" aca="1" ref="N7" ca="1">IF(AND(M7&lt;&gt;"",INDIRECT($C$2&amp;ADDRESS($H$2+$G7-1,$I$2+$J$2+N$6-1))=$B7),N$6,"")</f>
        <v>#N/A</v>
      </c>
      <c r="O7" t="e" cm="1">
        <f t="array" aca="1" ref="O7" ca="1">IF(AND(N7&lt;&gt;"",INDIRECT($C$2&amp;ADDRESS($H$2+$G7-1,$I$2+$J$2+O$6-1))=$B7),O$6,"")</f>
        <v>#N/A</v>
      </c>
      <c r="P7" t="e" cm="1">
        <f t="array" aca="1" ref="P7" ca="1">IF(AND(O7&lt;&gt;"",INDIRECT($C$2&amp;ADDRESS($H$2+$G7-1,$I$2+$J$2+P$6-1))=$B7),P$6,"")</f>
        <v>#N/A</v>
      </c>
    </row>
    <row r="8" spans="1:16">
      <c r="A8">
        <v>2</v>
      </c>
      <c r="B8" t="str">
        <f t="shared" ref="B8:B48" ca="1" si="3">IFERROR(INDEX(INDEX(INDIRECT($B$2&amp;$F$2),0,1),$A8),"")</f>
        <v/>
      </c>
      <c r="C8" t="str">
        <f t="shared" ref="C8:C48" ca="1" si="4">IFERROR(INDEX(INDEX(INDIRECT($B$2&amp;$F$2),0,2),$A8),"")</f>
        <v/>
      </c>
      <c r="D8" t="str">
        <f t="shared" ref="D8:D48" ca="1" si="5">IF(B8="","",IF(ISNA(I8),"久し",IF(I8=1,"昨日",I8&amp;"日"))&amp;"ぶり"&amp;IF(J8&lt;&gt;1,J8&amp;"回目",""))</f>
        <v/>
      </c>
      <c r="E8" t="str">
        <f t="shared" ref="E8:E48" ca="1" si="6">IF(B8="","",IF(MAX(K8:P8)=0,"","連続"&amp;MAX(K8:P8)&amp;"日"))</f>
        <v/>
      </c>
      <c r="G8" t="e">
        <f t="shared" ca="1" si="0"/>
        <v>#N/A</v>
      </c>
      <c r="H8" t="e">
        <f t="shared" ref="H8:H48" ca="1" si="7">ADDRESS($H$2+$G8-1,$I$2+$J$2+1)&amp;":"&amp;ADDRESS($H$2+$G8-1,$I$2+29)</f>
        <v>#N/A</v>
      </c>
      <c r="I8" t="e">
        <f t="shared" ca="1" si="1"/>
        <v>#N/A</v>
      </c>
      <c r="J8" t="e">
        <f t="shared" ca="1" si="2"/>
        <v>#N/A</v>
      </c>
      <c r="K8" t="e" cm="1">
        <f t="array" aca="1" ref="K8" ca="1">IF(INDIRECT($C$2&amp;ADDRESS($H$2+$G8-1,$I$2+$J$2+K$6-1))=$B8,K$6,"")</f>
        <v>#N/A</v>
      </c>
      <c r="L8" t="e" cm="1">
        <f t="array" aca="1" ref="L8" ca="1">IF(AND(K8&lt;&gt;"",INDIRECT($C$2&amp;ADDRESS($H$2+$G8-1,$I$2+$J$2+L$6-1))=$B8),L$6,"")</f>
        <v>#N/A</v>
      </c>
      <c r="M8" t="e" cm="1">
        <f t="array" aca="1" ref="M8" ca="1">IF(AND(L8&lt;&gt;"",INDIRECT($C$2&amp;ADDRESS($H$2+$G8-1,$I$2+$J$2+M$6-1))=$B8),M$6,"")</f>
        <v>#N/A</v>
      </c>
      <c r="N8" t="e" cm="1">
        <f t="array" aca="1" ref="N8" ca="1">IF(AND(M8&lt;&gt;"",INDIRECT($C$2&amp;ADDRESS($H$2+$G8-1,$I$2+$J$2+N$6-1))=$B8),N$6,"")</f>
        <v>#N/A</v>
      </c>
      <c r="O8" t="e" cm="1">
        <f t="array" aca="1" ref="O8" ca="1">IF(AND(N8&lt;&gt;"",INDIRECT($C$2&amp;ADDRESS($H$2+$G8-1,$I$2+$J$2+O$6-1))=$B8),O$6,"")</f>
        <v>#N/A</v>
      </c>
      <c r="P8" t="e" cm="1">
        <f t="array" aca="1" ref="P8" ca="1">IF(AND(O8&lt;&gt;"",INDIRECT($C$2&amp;ADDRESS($H$2+$G8-1,$I$2+$J$2+P$6-1))=$B8),P$6,"")</f>
        <v>#N/A</v>
      </c>
    </row>
    <row r="9" spans="1:16">
      <c r="A9">
        <v>3</v>
      </c>
      <c r="B9" t="str">
        <f t="shared" ca="1" si="3"/>
        <v/>
      </c>
      <c r="C9" t="str">
        <f t="shared" ca="1" si="4"/>
        <v/>
      </c>
      <c r="D9" t="str">
        <f t="shared" ca="1" si="5"/>
        <v/>
      </c>
      <c r="E9" t="str">
        <f t="shared" ca="1" si="6"/>
        <v/>
      </c>
      <c r="G9" t="e">
        <f t="shared" ca="1" si="0"/>
        <v>#N/A</v>
      </c>
      <c r="H9" t="e">
        <f t="shared" ca="1" si="7"/>
        <v>#N/A</v>
      </c>
      <c r="I9" t="e">
        <f t="shared" ca="1" si="1"/>
        <v>#N/A</v>
      </c>
      <c r="J9" t="e">
        <f t="shared" ca="1" si="2"/>
        <v>#N/A</v>
      </c>
      <c r="K9" t="e" cm="1">
        <f t="array" aca="1" ref="K9" ca="1">IF(INDIRECT($C$2&amp;ADDRESS($H$2+$G9-1,$I$2+$J$2+K$6-1))=$B9,K$6,"")</f>
        <v>#N/A</v>
      </c>
      <c r="L9" t="e" cm="1">
        <f t="array" aca="1" ref="L9" ca="1">IF(AND(K9&lt;&gt;"",INDIRECT($C$2&amp;ADDRESS($H$2+$G9-1,$I$2+$J$2+L$6-1))=$B9),L$6,"")</f>
        <v>#N/A</v>
      </c>
      <c r="M9" t="e" cm="1">
        <f t="array" aca="1" ref="M9" ca="1">IF(AND(L9&lt;&gt;"",INDIRECT($C$2&amp;ADDRESS($H$2+$G9-1,$I$2+$J$2+M$6-1))=$B9),M$6,"")</f>
        <v>#N/A</v>
      </c>
      <c r="N9" t="e" cm="1">
        <f t="array" aca="1" ref="N9" ca="1">IF(AND(M9&lt;&gt;"",INDIRECT($C$2&amp;ADDRESS($H$2+$G9-1,$I$2+$J$2+N$6-1))=$B9),N$6,"")</f>
        <v>#N/A</v>
      </c>
      <c r="O9" t="e" cm="1">
        <f t="array" aca="1" ref="O9" ca="1">IF(AND(N9&lt;&gt;"",INDIRECT($C$2&amp;ADDRESS($H$2+$G9-1,$I$2+$J$2+O$6-1))=$B9),O$6,"")</f>
        <v>#N/A</v>
      </c>
      <c r="P9" t="e" cm="1">
        <f t="array" aca="1" ref="P9" ca="1">IF(AND(O9&lt;&gt;"",INDIRECT($C$2&amp;ADDRESS($H$2+$G9-1,$I$2+$J$2+P$6-1))=$B9),P$6,"")</f>
        <v>#N/A</v>
      </c>
    </row>
    <row r="10" spans="1:16">
      <c r="A10">
        <v>4</v>
      </c>
      <c r="B10" t="str">
        <f t="shared" ca="1" si="3"/>
        <v/>
      </c>
      <c r="C10" t="str">
        <f t="shared" ca="1" si="4"/>
        <v/>
      </c>
      <c r="D10" t="str">
        <f t="shared" ca="1" si="5"/>
        <v/>
      </c>
      <c r="E10" t="str">
        <f t="shared" ca="1" si="6"/>
        <v/>
      </c>
      <c r="G10" t="e">
        <f t="shared" ca="1" si="0"/>
        <v>#N/A</v>
      </c>
      <c r="H10" t="e">
        <f t="shared" ca="1" si="7"/>
        <v>#N/A</v>
      </c>
      <c r="I10" t="e">
        <f t="shared" ca="1" si="1"/>
        <v>#N/A</v>
      </c>
      <c r="J10" t="e">
        <f t="shared" ca="1" si="2"/>
        <v>#N/A</v>
      </c>
      <c r="K10" t="e" cm="1">
        <f t="array" aca="1" ref="K10" ca="1">IF(INDIRECT($C$2&amp;ADDRESS($H$2+$G10-1,$I$2+$J$2+K$6-1))=$B10,K$6,"")</f>
        <v>#N/A</v>
      </c>
      <c r="L10" t="e" cm="1">
        <f t="array" aca="1" ref="L10" ca="1">IF(AND(K10&lt;&gt;"",INDIRECT($C$2&amp;ADDRESS($H$2+$G10-1,$I$2+$J$2+L$6-1))=$B10),L$6,"")</f>
        <v>#N/A</v>
      </c>
      <c r="M10" t="e" cm="1">
        <f t="array" aca="1" ref="M10" ca="1">IF(AND(L10&lt;&gt;"",INDIRECT($C$2&amp;ADDRESS($H$2+$G10-1,$I$2+$J$2+M$6-1))=$B10),M$6,"")</f>
        <v>#N/A</v>
      </c>
      <c r="N10" t="e" cm="1">
        <f t="array" aca="1" ref="N10" ca="1">IF(AND(M10&lt;&gt;"",INDIRECT($C$2&amp;ADDRESS($H$2+$G10-1,$I$2+$J$2+N$6-1))=$B10),N$6,"")</f>
        <v>#N/A</v>
      </c>
      <c r="O10" t="e" cm="1">
        <f t="array" aca="1" ref="O10" ca="1">IF(AND(N10&lt;&gt;"",INDIRECT($C$2&amp;ADDRESS($H$2+$G10-1,$I$2+$J$2+O$6-1))=$B10),O$6,"")</f>
        <v>#N/A</v>
      </c>
      <c r="P10" t="e" cm="1">
        <f t="array" aca="1" ref="P10" ca="1">IF(AND(O10&lt;&gt;"",INDIRECT($C$2&amp;ADDRESS($H$2+$G10-1,$I$2+$J$2+P$6-1))=$B10),P$6,"")</f>
        <v>#N/A</v>
      </c>
    </row>
    <row r="11" spans="1:16">
      <c r="A11">
        <v>5</v>
      </c>
      <c r="B11" t="str">
        <f t="shared" ca="1" si="3"/>
        <v/>
      </c>
      <c r="C11" t="str">
        <f t="shared" ca="1" si="4"/>
        <v/>
      </c>
      <c r="D11" t="str">
        <f t="shared" ca="1" si="5"/>
        <v/>
      </c>
      <c r="E11" t="str">
        <f t="shared" ca="1" si="6"/>
        <v/>
      </c>
      <c r="G11" t="e">
        <f t="shared" ca="1" si="0"/>
        <v>#N/A</v>
      </c>
      <c r="H11" t="e">
        <f t="shared" ca="1" si="7"/>
        <v>#N/A</v>
      </c>
      <c r="I11" t="e">
        <f t="shared" ca="1" si="1"/>
        <v>#N/A</v>
      </c>
      <c r="J11" t="e">
        <f t="shared" ca="1" si="2"/>
        <v>#N/A</v>
      </c>
      <c r="K11" t="e" cm="1">
        <f t="array" aca="1" ref="K11" ca="1">IF(INDIRECT($C$2&amp;ADDRESS($H$2+$G11-1,$I$2+$J$2+K$6-1))=$B11,K$6,"")</f>
        <v>#N/A</v>
      </c>
      <c r="L11" t="e" cm="1">
        <f t="array" aca="1" ref="L11" ca="1">IF(AND(K11&lt;&gt;"",INDIRECT($C$2&amp;ADDRESS($H$2+$G11-1,$I$2+$J$2+L$6-1))=$B11),L$6,"")</f>
        <v>#N/A</v>
      </c>
      <c r="M11" t="e" cm="1">
        <f t="array" aca="1" ref="M11" ca="1">IF(AND(L11&lt;&gt;"",INDIRECT($C$2&amp;ADDRESS($H$2+$G11-1,$I$2+$J$2+M$6-1))=$B11),M$6,"")</f>
        <v>#N/A</v>
      </c>
      <c r="N11" t="e" cm="1">
        <f t="array" aca="1" ref="N11" ca="1">IF(AND(M11&lt;&gt;"",INDIRECT($C$2&amp;ADDRESS($H$2+$G11-1,$I$2+$J$2+N$6-1))=$B11),N$6,"")</f>
        <v>#N/A</v>
      </c>
      <c r="O11" t="e" cm="1">
        <f t="array" aca="1" ref="O11" ca="1">IF(AND(N11&lt;&gt;"",INDIRECT($C$2&amp;ADDRESS($H$2+$G11-1,$I$2+$J$2+O$6-1))=$B11),O$6,"")</f>
        <v>#N/A</v>
      </c>
      <c r="P11" t="e" cm="1">
        <f t="array" aca="1" ref="P11" ca="1">IF(AND(O11&lt;&gt;"",INDIRECT($C$2&amp;ADDRESS($H$2+$G11-1,$I$2+$J$2+P$6-1))=$B11),P$6,"")</f>
        <v>#N/A</v>
      </c>
    </row>
    <row r="12" spans="1:16">
      <c r="A12">
        <v>6</v>
      </c>
      <c r="B12" t="str">
        <f t="shared" ca="1" si="3"/>
        <v/>
      </c>
      <c r="C12" t="str">
        <f t="shared" ca="1" si="4"/>
        <v/>
      </c>
      <c r="D12" t="str">
        <f t="shared" ca="1" si="5"/>
        <v/>
      </c>
      <c r="E12" t="str">
        <f t="shared" ca="1" si="6"/>
        <v/>
      </c>
      <c r="G12" t="e">
        <f t="shared" ca="1" si="0"/>
        <v>#N/A</v>
      </c>
      <c r="H12" t="e">
        <f t="shared" ca="1" si="7"/>
        <v>#N/A</v>
      </c>
      <c r="I12" t="e">
        <f t="shared" ca="1" si="1"/>
        <v>#N/A</v>
      </c>
      <c r="J12" t="e">
        <f t="shared" ca="1" si="2"/>
        <v>#N/A</v>
      </c>
      <c r="K12" t="e" cm="1">
        <f t="array" aca="1" ref="K12" ca="1">IF(INDIRECT($C$2&amp;ADDRESS($H$2+$G12-1,$I$2+$J$2+K$6-1))=$B12,K$6,"")</f>
        <v>#N/A</v>
      </c>
      <c r="L12" t="e" cm="1">
        <f t="array" aca="1" ref="L12" ca="1">IF(AND(K12&lt;&gt;"",INDIRECT($C$2&amp;ADDRESS($H$2+$G12-1,$I$2+$J$2+L$6-1))=$B12),L$6,"")</f>
        <v>#N/A</v>
      </c>
      <c r="M12" t="e" cm="1">
        <f t="array" aca="1" ref="M12" ca="1">IF(AND(L12&lt;&gt;"",INDIRECT($C$2&amp;ADDRESS($H$2+$G12-1,$I$2+$J$2+M$6-1))=$B12),M$6,"")</f>
        <v>#N/A</v>
      </c>
      <c r="N12" t="e" cm="1">
        <f t="array" aca="1" ref="N12" ca="1">IF(AND(M12&lt;&gt;"",INDIRECT($C$2&amp;ADDRESS($H$2+$G12-1,$I$2+$J$2+N$6-1))=$B12),N$6,"")</f>
        <v>#N/A</v>
      </c>
      <c r="O12" t="e" cm="1">
        <f t="array" aca="1" ref="O12" ca="1">IF(AND(N12&lt;&gt;"",INDIRECT($C$2&amp;ADDRESS($H$2+$G12-1,$I$2+$J$2+O$6-1))=$B12),O$6,"")</f>
        <v>#N/A</v>
      </c>
      <c r="P12" t="e" cm="1">
        <f t="array" aca="1" ref="P12" ca="1">IF(AND(O12&lt;&gt;"",INDIRECT($C$2&amp;ADDRESS($H$2+$G12-1,$I$2+$J$2+P$6-1))=$B12),P$6,"")</f>
        <v>#N/A</v>
      </c>
    </row>
    <row r="13" spans="1:16">
      <c r="A13">
        <v>7</v>
      </c>
      <c r="B13" t="str">
        <f t="shared" ca="1" si="3"/>
        <v/>
      </c>
      <c r="C13" t="str">
        <f t="shared" ca="1" si="4"/>
        <v/>
      </c>
      <c r="D13" t="str">
        <f t="shared" ca="1" si="5"/>
        <v/>
      </c>
      <c r="E13" t="str">
        <f t="shared" ca="1" si="6"/>
        <v/>
      </c>
      <c r="G13" t="e">
        <f t="shared" ca="1" si="0"/>
        <v>#N/A</v>
      </c>
      <c r="H13" t="e">
        <f t="shared" ca="1" si="7"/>
        <v>#N/A</v>
      </c>
      <c r="I13" t="e">
        <f t="shared" ca="1" si="1"/>
        <v>#N/A</v>
      </c>
      <c r="J13" t="e">
        <f t="shared" ca="1" si="2"/>
        <v>#N/A</v>
      </c>
      <c r="K13" t="e" cm="1">
        <f t="array" aca="1" ref="K13" ca="1">IF(INDIRECT($C$2&amp;ADDRESS($H$2+$G13-1,$I$2+$J$2+K$6-1))=$B13,K$6,"")</f>
        <v>#N/A</v>
      </c>
      <c r="L13" t="e" cm="1">
        <f t="array" aca="1" ref="L13" ca="1">IF(AND(K13&lt;&gt;"",INDIRECT($C$2&amp;ADDRESS($H$2+$G13-1,$I$2+$J$2+L$6-1))=$B13),L$6,"")</f>
        <v>#N/A</v>
      </c>
      <c r="M13" t="e" cm="1">
        <f t="array" aca="1" ref="M13" ca="1">IF(AND(L13&lt;&gt;"",INDIRECT($C$2&amp;ADDRESS($H$2+$G13-1,$I$2+$J$2+M$6-1))=$B13),M$6,"")</f>
        <v>#N/A</v>
      </c>
      <c r="N13" t="e" cm="1">
        <f t="array" aca="1" ref="N13" ca="1">IF(AND(M13&lt;&gt;"",INDIRECT($C$2&amp;ADDRESS($H$2+$G13-1,$I$2+$J$2+N$6-1))=$B13),N$6,"")</f>
        <v>#N/A</v>
      </c>
      <c r="O13" t="e" cm="1">
        <f t="array" aca="1" ref="O13" ca="1">IF(AND(N13&lt;&gt;"",INDIRECT($C$2&amp;ADDRESS($H$2+$G13-1,$I$2+$J$2+O$6-1))=$B13),O$6,"")</f>
        <v>#N/A</v>
      </c>
      <c r="P13" t="e" cm="1">
        <f t="array" aca="1" ref="P13" ca="1">IF(AND(O13&lt;&gt;"",INDIRECT($C$2&amp;ADDRESS($H$2+$G13-1,$I$2+$J$2+P$6-1))=$B13),P$6,"")</f>
        <v>#N/A</v>
      </c>
    </row>
    <row r="14" spans="1:16">
      <c r="A14">
        <v>8</v>
      </c>
      <c r="B14" t="str">
        <f t="shared" ca="1" si="3"/>
        <v/>
      </c>
      <c r="C14" t="str">
        <f t="shared" ca="1" si="4"/>
        <v/>
      </c>
      <c r="D14" t="str">
        <f t="shared" ca="1" si="5"/>
        <v/>
      </c>
      <c r="E14" t="str">
        <f t="shared" ca="1" si="6"/>
        <v/>
      </c>
      <c r="G14" t="e">
        <f t="shared" ca="1" si="0"/>
        <v>#N/A</v>
      </c>
      <c r="H14" t="e">
        <f t="shared" ca="1" si="7"/>
        <v>#N/A</v>
      </c>
      <c r="I14" t="e">
        <f t="shared" ca="1" si="1"/>
        <v>#N/A</v>
      </c>
      <c r="J14" t="e">
        <f t="shared" ca="1" si="2"/>
        <v>#N/A</v>
      </c>
      <c r="K14" t="e" cm="1">
        <f t="array" aca="1" ref="K14" ca="1">IF(INDIRECT($C$2&amp;ADDRESS($H$2+$G14-1,$I$2+$J$2+K$6-1))=$B14,K$6,"")</f>
        <v>#N/A</v>
      </c>
      <c r="L14" t="e" cm="1">
        <f t="array" aca="1" ref="L14" ca="1">IF(AND(K14&lt;&gt;"",INDIRECT($C$2&amp;ADDRESS($H$2+$G14-1,$I$2+$J$2+L$6-1))=$B14),L$6,"")</f>
        <v>#N/A</v>
      </c>
      <c r="M14" t="e" cm="1">
        <f t="array" aca="1" ref="M14" ca="1">IF(AND(L14&lt;&gt;"",INDIRECT($C$2&amp;ADDRESS($H$2+$G14-1,$I$2+$J$2+M$6-1))=$B14),M$6,"")</f>
        <v>#N/A</v>
      </c>
      <c r="N14" t="e" cm="1">
        <f t="array" aca="1" ref="N14" ca="1">IF(AND(M14&lt;&gt;"",INDIRECT($C$2&amp;ADDRESS($H$2+$G14-1,$I$2+$J$2+N$6-1))=$B14),N$6,"")</f>
        <v>#N/A</v>
      </c>
      <c r="O14" t="e" cm="1">
        <f t="array" aca="1" ref="O14" ca="1">IF(AND(N14&lt;&gt;"",INDIRECT($C$2&amp;ADDRESS($H$2+$G14-1,$I$2+$J$2+O$6-1))=$B14),O$6,"")</f>
        <v>#N/A</v>
      </c>
      <c r="P14" t="e" cm="1">
        <f t="array" aca="1" ref="P14" ca="1">IF(AND(O14&lt;&gt;"",INDIRECT($C$2&amp;ADDRESS($H$2+$G14-1,$I$2+$J$2+P$6-1))=$B14),P$6,"")</f>
        <v>#N/A</v>
      </c>
    </row>
    <row r="15" spans="1:16">
      <c r="A15">
        <v>9</v>
      </c>
      <c r="B15" t="str">
        <f t="shared" ca="1" si="3"/>
        <v/>
      </c>
      <c r="C15" t="str">
        <f t="shared" ca="1" si="4"/>
        <v/>
      </c>
      <c r="D15" t="str">
        <f t="shared" ca="1" si="5"/>
        <v/>
      </c>
      <c r="E15" t="str">
        <f t="shared" ca="1" si="6"/>
        <v/>
      </c>
      <c r="G15" t="e">
        <f t="shared" ca="1" si="0"/>
        <v>#N/A</v>
      </c>
      <c r="H15" t="e">
        <f t="shared" ca="1" si="7"/>
        <v>#N/A</v>
      </c>
      <c r="I15" t="e">
        <f t="shared" ca="1" si="1"/>
        <v>#N/A</v>
      </c>
      <c r="J15" t="e">
        <f t="shared" ca="1" si="2"/>
        <v>#N/A</v>
      </c>
      <c r="K15" t="e" cm="1">
        <f t="array" aca="1" ref="K15" ca="1">IF(INDIRECT($C$2&amp;ADDRESS($H$2+$G15-1,$I$2+$J$2+K$6-1))=$B15,K$6,"")</f>
        <v>#N/A</v>
      </c>
      <c r="L15" t="e" cm="1">
        <f t="array" aca="1" ref="L15" ca="1">IF(AND(K15&lt;&gt;"",INDIRECT($C$2&amp;ADDRESS($H$2+$G15-1,$I$2+$J$2+L$6-1))=$B15),L$6,"")</f>
        <v>#N/A</v>
      </c>
      <c r="M15" t="e" cm="1">
        <f t="array" aca="1" ref="M15" ca="1">IF(AND(L15&lt;&gt;"",INDIRECT($C$2&amp;ADDRESS($H$2+$G15-1,$I$2+$J$2+M$6-1))=$B15),M$6,"")</f>
        <v>#N/A</v>
      </c>
      <c r="N15" t="e" cm="1">
        <f t="array" aca="1" ref="N15" ca="1">IF(AND(M15&lt;&gt;"",INDIRECT($C$2&amp;ADDRESS($H$2+$G15-1,$I$2+$J$2+N$6-1))=$B15),N$6,"")</f>
        <v>#N/A</v>
      </c>
      <c r="O15" t="e" cm="1">
        <f t="array" aca="1" ref="O15" ca="1">IF(AND(N15&lt;&gt;"",INDIRECT($C$2&amp;ADDRESS($H$2+$G15-1,$I$2+$J$2+O$6-1))=$B15),O$6,"")</f>
        <v>#N/A</v>
      </c>
      <c r="P15" t="e" cm="1">
        <f t="array" aca="1" ref="P15" ca="1">IF(AND(O15&lt;&gt;"",INDIRECT($C$2&amp;ADDRESS($H$2+$G15-1,$I$2+$J$2+P$6-1))=$B15),P$6,"")</f>
        <v>#N/A</v>
      </c>
    </row>
    <row r="16" spans="1:16">
      <c r="A16">
        <v>10</v>
      </c>
      <c r="B16" t="str">
        <f t="shared" ca="1" si="3"/>
        <v/>
      </c>
      <c r="C16" t="str">
        <f t="shared" ca="1" si="4"/>
        <v/>
      </c>
      <c r="D16" t="str">
        <f t="shared" ca="1" si="5"/>
        <v/>
      </c>
      <c r="E16" t="str">
        <f t="shared" ca="1" si="6"/>
        <v/>
      </c>
      <c r="G16" t="e">
        <f t="shared" ca="1" si="0"/>
        <v>#N/A</v>
      </c>
      <c r="H16" t="e">
        <f t="shared" ca="1" si="7"/>
        <v>#N/A</v>
      </c>
      <c r="I16" t="e">
        <f t="shared" ca="1" si="1"/>
        <v>#N/A</v>
      </c>
      <c r="J16" t="e">
        <f t="shared" ca="1" si="2"/>
        <v>#N/A</v>
      </c>
      <c r="K16" t="e" cm="1">
        <f t="array" aca="1" ref="K16" ca="1">IF(INDIRECT($C$2&amp;ADDRESS($H$2+$G16-1,$I$2+$J$2+K$6-1))=$B16,K$6,"")</f>
        <v>#N/A</v>
      </c>
      <c r="L16" t="e" cm="1">
        <f t="array" aca="1" ref="L16" ca="1">IF(AND(K16&lt;&gt;"",INDIRECT($C$2&amp;ADDRESS($H$2+$G16-1,$I$2+$J$2+L$6-1))=$B16),L$6,"")</f>
        <v>#N/A</v>
      </c>
      <c r="M16" t="e" cm="1">
        <f t="array" aca="1" ref="M16" ca="1">IF(AND(L16&lt;&gt;"",INDIRECT($C$2&amp;ADDRESS($H$2+$G16-1,$I$2+$J$2+M$6-1))=$B16),M$6,"")</f>
        <v>#N/A</v>
      </c>
      <c r="N16" t="e" cm="1">
        <f t="array" aca="1" ref="N16" ca="1">IF(AND(M16&lt;&gt;"",INDIRECT($C$2&amp;ADDRESS($H$2+$G16-1,$I$2+$J$2+N$6-1))=$B16),N$6,"")</f>
        <v>#N/A</v>
      </c>
      <c r="O16" t="e" cm="1">
        <f t="array" aca="1" ref="O16" ca="1">IF(AND(N16&lt;&gt;"",INDIRECT($C$2&amp;ADDRESS($H$2+$G16-1,$I$2+$J$2+O$6-1))=$B16),O$6,"")</f>
        <v>#N/A</v>
      </c>
      <c r="P16" t="e" cm="1">
        <f t="array" aca="1" ref="P16" ca="1">IF(AND(O16&lt;&gt;"",INDIRECT($C$2&amp;ADDRESS($H$2+$G16-1,$I$2+$J$2+P$6-1))=$B16),P$6,"")</f>
        <v>#N/A</v>
      </c>
    </row>
    <row r="17" spans="1:16">
      <c r="A17">
        <v>11</v>
      </c>
      <c r="B17" t="str">
        <f t="shared" ca="1" si="3"/>
        <v/>
      </c>
      <c r="C17" t="str">
        <f t="shared" ca="1" si="4"/>
        <v/>
      </c>
      <c r="D17" t="str">
        <f t="shared" ca="1" si="5"/>
        <v/>
      </c>
      <c r="E17" t="str">
        <f t="shared" ca="1" si="6"/>
        <v/>
      </c>
      <c r="G17" t="e">
        <f t="shared" ca="1" si="0"/>
        <v>#N/A</v>
      </c>
      <c r="H17" t="e">
        <f t="shared" ca="1" si="7"/>
        <v>#N/A</v>
      </c>
      <c r="I17" t="e">
        <f t="shared" ca="1" si="1"/>
        <v>#N/A</v>
      </c>
      <c r="J17" t="e">
        <f t="shared" ca="1" si="2"/>
        <v>#N/A</v>
      </c>
      <c r="K17" t="e" cm="1">
        <f t="array" aca="1" ref="K17" ca="1">IF(INDIRECT($C$2&amp;ADDRESS($H$2+$G17-1,$I$2+$J$2+K$6-1))=$B17,K$6,"")</f>
        <v>#N/A</v>
      </c>
      <c r="L17" t="e" cm="1">
        <f t="array" aca="1" ref="L17" ca="1">IF(AND(K17&lt;&gt;"",INDIRECT($C$2&amp;ADDRESS($H$2+$G17-1,$I$2+$J$2+L$6-1))=$B17),L$6,"")</f>
        <v>#N/A</v>
      </c>
      <c r="M17" t="e" cm="1">
        <f t="array" aca="1" ref="M17" ca="1">IF(AND(L17&lt;&gt;"",INDIRECT($C$2&amp;ADDRESS($H$2+$G17-1,$I$2+$J$2+M$6-1))=$B17),M$6,"")</f>
        <v>#N/A</v>
      </c>
      <c r="N17" t="e" cm="1">
        <f t="array" aca="1" ref="N17" ca="1">IF(AND(M17&lt;&gt;"",INDIRECT($C$2&amp;ADDRESS($H$2+$G17-1,$I$2+$J$2+N$6-1))=$B17),N$6,"")</f>
        <v>#N/A</v>
      </c>
      <c r="O17" t="e" cm="1">
        <f t="array" aca="1" ref="O17" ca="1">IF(AND(N17&lt;&gt;"",INDIRECT($C$2&amp;ADDRESS($H$2+$G17-1,$I$2+$J$2+O$6-1))=$B17),O$6,"")</f>
        <v>#N/A</v>
      </c>
      <c r="P17" t="e" cm="1">
        <f t="array" aca="1" ref="P17" ca="1">IF(AND(O17&lt;&gt;"",INDIRECT($C$2&amp;ADDRESS($H$2+$G17-1,$I$2+$J$2+P$6-1))=$B17),P$6,"")</f>
        <v>#N/A</v>
      </c>
    </row>
    <row r="18" spans="1:16">
      <c r="A18">
        <v>12</v>
      </c>
      <c r="B18" t="str">
        <f t="shared" ca="1" si="3"/>
        <v/>
      </c>
      <c r="C18" t="str">
        <f t="shared" ca="1" si="4"/>
        <v/>
      </c>
      <c r="D18" t="str">
        <f t="shared" ca="1" si="5"/>
        <v/>
      </c>
      <c r="E18" t="str">
        <f t="shared" ca="1" si="6"/>
        <v/>
      </c>
      <c r="G18" t="e">
        <f t="shared" ca="1" si="0"/>
        <v>#N/A</v>
      </c>
      <c r="H18" t="e">
        <f t="shared" ca="1" si="7"/>
        <v>#N/A</v>
      </c>
      <c r="I18" t="e">
        <f t="shared" ca="1" si="1"/>
        <v>#N/A</v>
      </c>
      <c r="J18" t="e">
        <f t="shared" ca="1" si="2"/>
        <v>#N/A</v>
      </c>
      <c r="K18" t="e" cm="1">
        <f t="array" aca="1" ref="K18" ca="1">IF(INDIRECT($C$2&amp;ADDRESS($H$2+$G18-1,$I$2+$J$2+K$6-1))=$B18,K$6,"")</f>
        <v>#N/A</v>
      </c>
      <c r="L18" t="e" cm="1">
        <f t="array" aca="1" ref="L18" ca="1">IF(AND(K18&lt;&gt;"",INDIRECT($C$2&amp;ADDRESS($H$2+$G18-1,$I$2+$J$2+L$6-1))=$B18),L$6,"")</f>
        <v>#N/A</v>
      </c>
      <c r="M18" t="e" cm="1">
        <f t="array" aca="1" ref="M18" ca="1">IF(AND(L18&lt;&gt;"",INDIRECT($C$2&amp;ADDRESS($H$2+$G18-1,$I$2+$J$2+M$6-1))=$B18),M$6,"")</f>
        <v>#N/A</v>
      </c>
      <c r="N18" t="e" cm="1">
        <f t="array" aca="1" ref="N18" ca="1">IF(AND(M18&lt;&gt;"",INDIRECT($C$2&amp;ADDRESS($H$2+$G18-1,$I$2+$J$2+N$6-1))=$B18),N$6,"")</f>
        <v>#N/A</v>
      </c>
      <c r="O18" t="e" cm="1">
        <f t="array" aca="1" ref="O18" ca="1">IF(AND(N18&lt;&gt;"",INDIRECT($C$2&amp;ADDRESS($H$2+$G18-1,$I$2+$J$2+O$6-1))=$B18),O$6,"")</f>
        <v>#N/A</v>
      </c>
      <c r="P18" t="e" cm="1">
        <f t="array" aca="1" ref="P18" ca="1">IF(AND(O18&lt;&gt;"",INDIRECT($C$2&amp;ADDRESS($H$2+$G18-1,$I$2+$J$2+P$6-1))=$B18),P$6,"")</f>
        <v>#N/A</v>
      </c>
    </row>
    <row r="19" spans="1:16">
      <c r="A19">
        <v>13</v>
      </c>
      <c r="B19" t="str">
        <f t="shared" ca="1" si="3"/>
        <v/>
      </c>
      <c r="C19" t="str">
        <f t="shared" ca="1" si="4"/>
        <v/>
      </c>
      <c r="D19" t="str">
        <f ca="1">IF(B19="","",IF(ISNA(I19),"久し",IF(I19=1,"昨日",I19&amp;"日"))&amp;"ぶり"&amp;IF(J19&lt;&gt;1,J19&amp;"回目",""))</f>
        <v/>
      </c>
      <c r="E19" t="str">
        <f t="shared" ca="1" si="6"/>
        <v/>
      </c>
      <c r="G19" t="e">
        <f t="shared" ca="1" si="0"/>
        <v>#N/A</v>
      </c>
      <c r="H19" t="e">
        <f t="shared" ca="1" si="7"/>
        <v>#N/A</v>
      </c>
      <c r="I19" t="e">
        <f t="shared" ca="1" si="1"/>
        <v>#N/A</v>
      </c>
      <c r="J19" t="e">
        <f t="shared" ca="1" si="2"/>
        <v>#N/A</v>
      </c>
      <c r="K19" t="e" cm="1">
        <f t="array" aca="1" ref="K19" ca="1">IF(INDIRECT($C$2&amp;ADDRESS($H$2+$G19-1,$I$2+$J$2+K$6-1))=$B19,K$6,"")</f>
        <v>#N/A</v>
      </c>
      <c r="L19" t="e" cm="1">
        <f t="array" aca="1" ref="L19" ca="1">IF(AND(K19&lt;&gt;"",INDIRECT($C$2&amp;ADDRESS($H$2+$G19-1,$I$2+$J$2+L$6-1))=$B19),L$6,"")</f>
        <v>#N/A</v>
      </c>
      <c r="M19" t="e" cm="1">
        <f t="array" aca="1" ref="M19" ca="1">IF(AND(L19&lt;&gt;"",INDIRECT($C$2&amp;ADDRESS($H$2+$G19-1,$I$2+$J$2+M$6-1))=$B19),M$6,"")</f>
        <v>#N/A</v>
      </c>
      <c r="N19" t="e" cm="1">
        <f t="array" aca="1" ref="N19" ca="1">IF(AND(M19&lt;&gt;"",INDIRECT($C$2&amp;ADDRESS($H$2+$G19-1,$I$2+$J$2+N$6-1))=$B19),N$6,"")</f>
        <v>#N/A</v>
      </c>
      <c r="O19" t="e" cm="1">
        <f t="array" aca="1" ref="O19" ca="1">IF(AND(N19&lt;&gt;"",INDIRECT($C$2&amp;ADDRESS($H$2+$G19-1,$I$2+$J$2+O$6-1))=$B19),O$6,"")</f>
        <v>#N/A</v>
      </c>
      <c r="P19" t="e" cm="1">
        <f t="array" aca="1" ref="P19" ca="1">IF(AND(O19&lt;&gt;"",INDIRECT($C$2&amp;ADDRESS($H$2+$G19-1,$I$2+$J$2+P$6-1))=$B19),P$6,"")</f>
        <v>#N/A</v>
      </c>
    </row>
    <row r="20" spans="1:16">
      <c r="A20">
        <v>14</v>
      </c>
      <c r="B20" t="str">
        <f t="shared" ca="1" si="3"/>
        <v/>
      </c>
      <c r="C20" t="str">
        <f t="shared" ca="1" si="4"/>
        <v/>
      </c>
      <c r="D20" t="str">
        <f t="shared" ca="1" si="5"/>
        <v/>
      </c>
      <c r="E20" t="str">
        <f t="shared" ca="1" si="6"/>
        <v/>
      </c>
      <c r="G20" t="e">
        <f t="shared" ca="1" si="0"/>
        <v>#N/A</v>
      </c>
      <c r="H20" t="e">
        <f t="shared" ca="1" si="7"/>
        <v>#N/A</v>
      </c>
      <c r="I20" t="e">
        <f t="shared" ca="1" si="1"/>
        <v>#N/A</v>
      </c>
      <c r="J20" t="e">
        <f t="shared" ca="1" si="2"/>
        <v>#N/A</v>
      </c>
      <c r="K20" t="e" cm="1">
        <f t="array" aca="1" ref="K20" ca="1">IF(INDIRECT($C$2&amp;ADDRESS($H$2+$G20-1,$I$2+$J$2+K$6-1))=$B20,K$6,"")</f>
        <v>#N/A</v>
      </c>
      <c r="L20" t="e" cm="1">
        <f t="array" aca="1" ref="L20" ca="1">IF(AND(K20&lt;&gt;"",INDIRECT($C$2&amp;ADDRESS($H$2+$G20-1,$I$2+$J$2+L$6-1))=$B20),L$6,"")</f>
        <v>#N/A</v>
      </c>
      <c r="M20" t="e" cm="1">
        <f t="array" aca="1" ref="M20" ca="1">IF(AND(L20&lt;&gt;"",INDIRECT($C$2&amp;ADDRESS($H$2+$G20-1,$I$2+$J$2+M$6-1))=$B20),M$6,"")</f>
        <v>#N/A</v>
      </c>
      <c r="N20" t="e" cm="1">
        <f t="array" aca="1" ref="N20" ca="1">IF(AND(M20&lt;&gt;"",INDIRECT($C$2&amp;ADDRESS($H$2+$G20-1,$I$2+$J$2+N$6-1))=$B20),N$6,"")</f>
        <v>#N/A</v>
      </c>
      <c r="O20" t="e" cm="1">
        <f t="array" aca="1" ref="O20" ca="1">IF(AND(N20&lt;&gt;"",INDIRECT($C$2&amp;ADDRESS($H$2+$G20-1,$I$2+$J$2+O$6-1))=$B20),O$6,"")</f>
        <v>#N/A</v>
      </c>
      <c r="P20" t="e" cm="1">
        <f t="array" aca="1" ref="P20" ca="1">IF(AND(O20&lt;&gt;"",INDIRECT($C$2&amp;ADDRESS($H$2+$G20-1,$I$2+$J$2+P$6-1))=$B20),P$6,"")</f>
        <v>#N/A</v>
      </c>
    </row>
    <row r="21" spans="1:16">
      <c r="A21">
        <v>15</v>
      </c>
      <c r="B21" t="str">
        <f t="shared" ca="1" si="3"/>
        <v/>
      </c>
      <c r="C21" t="str">
        <f t="shared" ca="1" si="4"/>
        <v/>
      </c>
      <c r="D21" t="str">
        <f t="shared" ca="1" si="5"/>
        <v/>
      </c>
      <c r="E21" t="str">
        <f t="shared" ca="1" si="6"/>
        <v/>
      </c>
      <c r="G21" t="e">
        <f t="shared" ca="1" si="0"/>
        <v>#N/A</v>
      </c>
      <c r="H21" t="e">
        <f t="shared" ca="1" si="7"/>
        <v>#N/A</v>
      </c>
      <c r="I21" t="e">
        <f t="shared" ca="1" si="1"/>
        <v>#N/A</v>
      </c>
      <c r="J21" t="e">
        <f t="shared" ca="1" si="2"/>
        <v>#N/A</v>
      </c>
      <c r="K21" t="e" cm="1">
        <f t="array" aca="1" ref="K21" ca="1">IF(INDIRECT($C$2&amp;ADDRESS($H$2+$G21-1,$I$2+$J$2+K$6-1))=$B21,K$6,"")</f>
        <v>#N/A</v>
      </c>
      <c r="L21" t="e" cm="1">
        <f t="array" aca="1" ref="L21" ca="1">IF(AND(K21&lt;&gt;"",INDIRECT($C$2&amp;ADDRESS($H$2+$G21-1,$I$2+$J$2+L$6-1))=$B21),L$6,"")</f>
        <v>#N/A</v>
      </c>
      <c r="M21" t="e" cm="1">
        <f t="array" aca="1" ref="M21" ca="1">IF(AND(L21&lt;&gt;"",INDIRECT($C$2&amp;ADDRESS($H$2+$G21-1,$I$2+$J$2+M$6-1))=$B21),M$6,"")</f>
        <v>#N/A</v>
      </c>
      <c r="N21" t="e" cm="1">
        <f t="array" aca="1" ref="N21" ca="1">IF(AND(M21&lt;&gt;"",INDIRECT($C$2&amp;ADDRESS($H$2+$G21-1,$I$2+$J$2+N$6-1))=$B21),N$6,"")</f>
        <v>#N/A</v>
      </c>
      <c r="O21" t="e" cm="1">
        <f t="array" aca="1" ref="O21" ca="1">IF(AND(N21&lt;&gt;"",INDIRECT($C$2&amp;ADDRESS($H$2+$G21-1,$I$2+$J$2+O$6-1))=$B21),O$6,"")</f>
        <v>#N/A</v>
      </c>
      <c r="P21" t="e" cm="1">
        <f t="array" aca="1" ref="P21" ca="1">IF(AND(O21&lt;&gt;"",INDIRECT($C$2&amp;ADDRESS($H$2+$G21-1,$I$2+$J$2+P$6-1))=$B21),P$6,"")</f>
        <v>#N/A</v>
      </c>
    </row>
    <row r="22" spans="1:16">
      <c r="A22">
        <v>16</v>
      </c>
      <c r="B22" t="str">
        <f t="shared" ca="1" si="3"/>
        <v/>
      </c>
      <c r="C22" t="str">
        <f t="shared" ca="1" si="4"/>
        <v/>
      </c>
      <c r="D22" t="str">
        <f t="shared" ca="1" si="5"/>
        <v/>
      </c>
      <c r="E22" t="str">
        <f t="shared" ca="1" si="6"/>
        <v/>
      </c>
      <c r="G22" t="e">
        <f t="shared" ca="1" si="0"/>
        <v>#N/A</v>
      </c>
      <c r="H22" t="e">
        <f t="shared" ca="1" si="7"/>
        <v>#N/A</v>
      </c>
      <c r="I22" t="e">
        <f t="shared" ca="1" si="1"/>
        <v>#N/A</v>
      </c>
      <c r="J22" t="e">
        <f t="shared" ca="1" si="2"/>
        <v>#N/A</v>
      </c>
      <c r="K22" t="e" cm="1">
        <f t="array" aca="1" ref="K22" ca="1">IF(INDIRECT($C$2&amp;ADDRESS($H$2+$G22-1,$I$2+$J$2+K$6-1))=$B22,K$6,"")</f>
        <v>#N/A</v>
      </c>
      <c r="L22" t="e" cm="1">
        <f t="array" aca="1" ref="L22" ca="1">IF(AND(K22&lt;&gt;"",INDIRECT($C$2&amp;ADDRESS($H$2+$G22-1,$I$2+$J$2+L$6-1))=$B22),L$6,"")</f>
        <v>#N/A</v>
      </c>
      <c r="M22" t="e" cm="1">
        <f t="array" aca="1" ref="M22" ca="1">IF(AND(L22&lt;&gt;"",INDIRECT($C$2&amp;ADDRESS($H$2+$G22-1,$I$2+$J$2+M$6-1))=$B22),M$6,"")</f>
        <v>#N/A</v>
      </c>
      <c r="N22" t="e" cm="1">
        <f t="array" aca="1" ref="N22" ca="1">IF(AND(M22&lt;&gt;"",INDIRECT($C$2&amp;ADDRESS($H$2+$G22-1,$I$2+$J$2+N$6-1))=$B22),N$6,"")</f>
        <v>#N/A</v>
      </c>
      <c r="O22" t="e" cm="1">
        <f t="array" aca="1" ref="O22" ca="1">IF(AND(N22&lt;&gt;"",INDIRECT($C$2&amp;ADDRESS($H$2+$G22-1,$I$2+$J$2+O$6-1))=$B22),O$6,"")</f>
        <v>#N/A</v>
      </c>
      <c r="P22" t="e" cm="1">
        <f t="array" aca="1" ref="P22" ca="1">IF(AND(O22&lt;&gt;"",INDIRECT($C$2&amp;ADDRESS($H$2+$G22-1,$I$2+$J$2+P$6-1))=$B22),P$6,"")</f>
        <v>#N/A</v>
      </c>
    </row>
    <row r="23" spans="1:16">
      <c r="A23">
        <v>17</v>
      </c>
      <c r="B23" t="str">
        <f t="shared" ca="1" si="3"/>
        <v/>
      </c>
      <c r="C23" t="str">
        <f t="shared" ca="1" si="4"/>
        <v/>
      </c>
      <c r="D23" t="str">
        <f t="shared" ca="1" si="5"/>
        <v/>
      </c>
      <c r="E23" t="str">
        <f t="shared" ca="1" si="6"/>
        <v/>
      </c>
      <c r="G23" t="e">
        <f t="shared" ca="1" si="0"/>
        <v>#N/A</v>
      </c>
      <c r="H23" t="e">
        <f t="shared" ca="1" si="7"/>
        <v>#N/A</v>
      </c>
      <c r="I23" t="e">
        <f t="shared" ca="1" si="1"/>
        <v>#N/A</v>
      </c>
      <c r="J23" t="e">
        <f t="shared" ca="1" si="2"/>
        <v>#N/A</v>
      </c>
      <c r="K23" t="e" cm="1">
        <f t="array" aca="1" ref="K23" ca="1">IF(INDIRECT($C$2&amp;ADDRESS($H$2+$G23-1,$I$2+$J$2+K$6-1))=$B23,K$6,"")</f>
        <v>#N/A</v>
      </c>
      <c r="L23" t="e" cm="1">
        <f t="array" aca="1" ref="L23" ca="1">IF(AND(K23&lt;&gt;"",INDIRECT($C$2&amp;ADDRESS($H$2+$G23-1,$I$2+$J$2+L$6-1))=$B23),L$6,"")</f>
        <v>#N/A</v>
      </c>
      <c r="M23" t="e" cm="1">
        <f t="array" aca="1" ref="M23" ca="1">IF(AND(L23&lt;&gt;"",INDIRECT($C$2&amp;ADDRESS($H$2+$G23-1,$I$2+$J$2+M$6-1))=$B23),M$6,"")</f>
        <v>#N/A</v>
      </c>
      <c r="N23" t="e" cm="1">
        <f t="array" aca="1" ref="N23" ca="1">IF(AND(M23&lt;&gt;"",INDIRECT($C$2&amp;ADDRESS($H$2+$G23-1,$I$2+$J$2+N$6-1))=$B23),N$6,"")</f>
        <v>#N/A</v>
      </c>
      <c r="O23" t="e" cm="1">
        <f t="array" aca="1" ref="O23" ca="1">IF(AND(N23&lt;&gt;"",INDIRECT($C$2&amp;ADDRESS($H$2+$G23-1,$I$2+$J$2+O$6-1))=$B23),O$6,"")</f>
        <v>#N/A</v>
      </c>
      <c r="P23" t="e" cm="1">
        <f t="array" aca="1" ref="P23" ca="1">IF(AND(O23&lt;&gt;"",INDIRECT($C$2&amp;ADDRESS($H$2+$G23-1,$I$2+$J$2+P$6-1))=$B23),P$6,"")</f>
        <v>#N/A</v>
      </c>
    </row>
    <row r="24" spans="1:16">
      <c r="A24">
        <v>18</v>
      </c>
      <c r="B24" t="str">
        <f t="shared" ca="1" si="3"/>
        <v/>
      </c>
      <c r="C24" t="str">
        <f t="shared" ca="1" si="4"/>
        <v/>
      </c>
      <c r="D24" t="str">
        <f t="shared" ca="1" si="5"/>
        <v/>
      </c>
      <c r="E24" t="str">
        <f t="shared" ca="1" si="6"/>
        <v/>
      </c>
      <c r="G24" t="e">
        <f t="shared" ca="1" si="0"/>
        <v>#N/A</v>
      </c>
      <c r="H24" t="e">
        <f t="shared" ca="1" si="7"/>
        <v>#N/A</v>
      </c>
      <c r="I24" t="e">
        <f t="shared" ca="1" si="1"/>
        <v>#N/A</v>
      </c>
      <c r="J24" t="e">
        <f t="shared" ca="1" si="2"/>
        <v>#N/A</v>
      </c>
      <c r="K24" t="e" cm="1">
        <f t="array" aca="1" ref="K24" ca="1">IF(INDIRECT($C$2&amp;ADDRESS($H$2+$G24-1,$I$2+$J$2+K$6-1))=$B24,K$6,"")</f>
        <v>#N/A</v>
      </c>
      <c r="L24" t="e" cm="1">
        <f t="array" aca="1" ref="L24" ca="1">IF(AND(K24&lt;&gt;"",INDIRECT($C$2&amp;ADDRESS($H$2+$G24-1,$I$2+$J$2+L$6-1))=$B24),L$6,"")</f>
        <v>#N/A</v>
      </c>
      <c r="M24" t="e" cm="1">
        <f t="array" aca="1" ref="M24" ca="1">IF(AND(L24&lt;&gt;"",INDIRECT($C$2&amp;ADDRESS($H$2+$G24-1,$I$2+$J$2+M$6-1))=$B24),M$6,"")</f>
        <v>#N/A</v>
      </c>
      <c r="N24" t="e" cm="1">
        <f t="array" aca="1" ref="N24" ca="1">IF(AND(M24&lt;&gt;"",INDIRECT($C$2&amp;ADDRESS($H$2+$G24-1,$I$2+$J$2+N$6-1))=$B24),N$6,"")</f>
        <v>#N/A</v>
      </c>
      <c r="O24" t="e" cm="1">
        <f t="array" aca="1" ref="O24" ca="1">IF(AND(N24&lt;&gt;"",INDIRECT($C$2&amp;ADDRESS($H$2+$G24-1,$I$2+$J$2+O$6-1))=$B24),O$6,"")</f>
        <v>#N/A</v>
      </c>
      <c r="P24" t="e" cm="1">
        <f t="array" aca="1" ref="P24" ca="1">IF(AND(O24&lt;&gt;"",INDIRECT($C$2&amp;ADDRESS($H$2+$G24-1,$I$2+$J$2+P$6-1))=$B24),P$6,"")</f>
        <v>#N/A</v>
      </c>
    </row>
    <row r="25" spans="1:16">
      <c r="A25">
        <v>19</v>
      </c>
      <c r="B25" t="str">
        <f t="shared" ca="1" si="3"/>
        <v/>
      </c>
      <c r="C25" t="str">
        <f t="shared" ca="1" si="4"/>
        <v/>
      </c>
      <c r="D25" t="str">
        <f t="shared" ca="1" si="5"/>
        <v/>
      </c>
      <c r="E25" t="str">
        <f t="shared" ca="1" si="6"/>
        <v/>
      </c>
      <c r="G25" t="e">
        <f t="shared" ca="1" si="0"/>
        <v>#N/A</v>
      </c>
      <c r="H25" t="e">
        <f t="shared" ca="1" si="7"/>
        <v>#N/A</v>
      </c>
      <c r="I25" t="e">
        <f t="shared" ca="1" si="1"/>
        <v>#N/A</v>
      </c>
      <c r="J25" t="e">
        <f t="shared" ca="1" si="2"/>
        <v>#N/A</v>
      </c>
      <c r="K25" t="e" cm="1">
        <f t="array" aca="1" ref="K25" ca="1">IF(INDIRECT($C$2&amp;ADDRESS($H$2+$G25-1,$I$2+$J$2+K$6-1))=$B25,K$6,"")</f>
        <v>#N/A</v>
      </c>
      <c r="L25" t="e" cm="1">
        <f t="array" aca="1" ref="L25" ca="1">IF(AND(K25&lt;&gt;"",INDIRECT($C$2&amp;ADDRESS($H$2+$G25-1,$I$2+$J$2+L$6-1))=$B25),L$6,"")</f>
        <v>#N/A</v>
      </c>
      <c r="M25" t="e" cm="1">
        <f t="array" aca="1" ref="M25" ca="1">IF(AND(L25&lt;&gt;"",INDIRECT($C$2&amp;ADDRESS($H$2+$G25-1,$I$2+$J$2+M$6-1))=$B25),M$6,"")</f>
        <v>#N/A</v>
      </c>
      <c r="N25" t="e" cm="1">
        <f t="array" aca="1" ref="N25" ca="1">IF(AND(M25&lt;&gt;"",INDIRECT($C$2&amp;ADDRESS($H$2+$G25-1,$I$2+$J$2+N$6-1))=$B25),N$6,"")</f>
        <v>#N/A</v>
      </c>
      <c r="O25" t="e" cm="1">
        <f t="array" aca="1" ref="O25" ca="1">IF(AND(N25&lt;&gt;"",INDIRECT($C$2&amp;ADDRESS($H$2+$G25-1,$I$2+$J$2+O$6-1))=$B25),O$6,"")</f>
        <v>#N/A</v>
      </c>
      <c r="P25" t="e" cm="1">
        <f t="array" aca="1" ref="P25" ca="1">IF(AND(O25&lt;&gt;"",INDIRECT($C$2&amp;ADDRESS($H$2+$G25-1,$I$2+$J$2+P$6-1))=$B25),P$6,"")</f>
        <v>#N/A</v>
      </c>
    </row>
    <row r="26" spans="1:16">
      <c r="A26">
        <v>20</v>
      </c>
      <c r="B26" t="str">
        <f t="shared" ca="1" si="3"/>
        <v/>
      </c>
      <c r="C26" t="str">
        <f t="shared" ca="1" si="4"/>
        <v/>
      </c>
      <c r="D26" t="str">
        <f t="shared" ca="1" si="5"/>
        <v/>
      </c>
      <c r="E26" t="str">
        <f t="shared" ca="1" si="6"/>
        <v/>
      </c>
      <c r="G26" t="e">
        <f t="shared" ca="1" si="0"/>
        <v>#N/A</v>
      </c>
      <c r="H26" t="e">
        <f t="shared" ca="1" si="7"/>
        <v>#N/A</v>
      </c>
      <c r="I26" t="e">
        <f t="shared" ca="1" si="1"/>
        <v>#N/A</v>
      </c>
      <c r="J26" t="e">
        <f t="shared" ca="1" si="2"/>
        <v>#N/A</v>
      </c>
      <c r="K26" t="e" cm="1">
        <f t="array" aca="1" ref="K26" ca="1">IF(INDIRECT($C$2&amp;ADDRESS($H$2+$G26-1,$I$2+$J$2+K$6-1))=$B26,K$6,"")</f>
        <v>#N/A</v>
      </c>
      <c r="L26" t="e" cm="1">
        <f t="array" aca="1" ref="L26" ca="1">IF(AND(K26&lt;&gt;"",INDIRECT($C$2&amp;ADDRESS($H$2+$G26-1,$I$2+$J$2+L$6-1))=$B26),L$6,"")</f>
        <v>#N/A</v>
      </c>
      <c r="M26" t="e" cm="1">
        <f t="array" aca="1" ref="M26" ca="1">IF(AND(L26&lt;&gt;"",INDIRECT($C$2&amp;ADDRESS($H$2+$G26-1,$I$2+$J$2+M$6-1))=$B26),M$6,"")</f>
        <v>#N/A</v>
      </c>
      <c r="N26" t="e" cm="1">
        <f t="array" aca="1" ref="N26" ca="1">IF(AND(M26&lt;&gt;"",INDIRECT($C$2&amp;ADDRESS($H$2+$G26-1,$I$2+$J$2+N$6-1))=$B26),N$6,"")</f>
        <v>#N/A</v>
      </c>
      <c r="O26" t="e" cm="1">
        <f t="array" aca="1" ref="O26" ca="1">IF(AND(N26&lt;&gt;"",INDIRECT($C$2&amp;ADDRESS($H$2+$G26-1,$I$2+$J$2+O$6-1))=$B26),O$6,"")</f>
        <v>#N/A</v>
      </c>
      <c r="P26" t="e" cm="1">
        <f t="array" aca="1" ref="P26" ca="1">IF(AND(O26&lt;&gt;"",INDIRECT($C$2&amp;ADDRESS($H$2+$G26-1,$I$2+$J$2+P$6-1))=$B26),P$6,"")</f>
        <v>#N/A</v>
      </c>
    </row>
    <row r="27" spans="1:16">
      <c r="A27">
        <v>21</v>
      </c>
      <c r="B27" t="str">
        <f t="shared" ca="1" si="3"/>
        <v/>
      </c>
      <c r="C27" t="str">
        <f t="shared" ca="1" si="4"/>
        <v/>
      </c>
      <c r="D27" t="str">
        <f t="shared" ca="1" si="5"/>
        <v/>
      </c>
      <c r="E27" t="str">
        <f t="shared" ca="1" si="6"/>
        <v/>
      </c>
      <c r="G27" t="e">
        <f t="shared" ca="1" si="0"/>
        <v>#N/A</v>
      </c>
      <c r="H27" t="e">
        <f t="shared" ca="1" si="7"/>
        <v>#N/A</v>
      </c>
      <c r="I27" t="e">
        <f t="shared" ca="1" si="1"/>
        <v>#N/A</v>
      </c>
      <c r="J27" t="e">
        <f t="shared" ca="1" si="2"/>
        <v>#N/A</v>
      </c>
      <c r="K27" t="e" cm="1">
        <f t="array" aca="1" ref="K27" ca="1">IF(INDIRECT($C$2&amp;ADDRESS($H$2+$G27-1,$I$2+$J$2+K$6-1))=$B27,K$6,"")</f>
        <v>#N/A</v>
      </c>
      <c r="L27" t="e" cm="1">
        <f t="array" aca="1" ref="L27" ca="1">IF(AND(K27&lt;&gt;"",INDIRECT($C$2&amp;ADDRESS($H$2+$G27-1,$I$2+$J$2+L$6-1))=$B27),L$6,"")</f>
        <v>#N/A</v>
      </c>
      <c r="M27" t="e" cm="1">
        <f t="array" aca="1" ref="M27" ca="1">IF(AND(L27&lt;&gt;"",INDIRECT($C$2&amp;ADDRESS($H$2+$G27-1,$I$2+$J$2+M$6-1))=$B27),M$6,"")</f>
        <v>#N/A</v>
      </c>
      <c r="N27" t="e" cm="1">
        <f t="array" aca="1" ref="N27" ca="1">IF(AND(M27&lt;&gt;"",INDIRECT($C$2&amp;ADDRESS($H$2+$G27-1,$I$2+$J$2+N$6-1))=$B27),N$6,"")</f>
        <v>#N/A</v>
      </c>
      <c r="O27" t="e" cm="1">
        <f t="array" aca="1" ref="O27" ca="1">IF(AND(N27&lt;&gt;"",INDIRECT($C$2&amp;ADDRESS($H$2+$G27-1,$I$2+$J$2+O$6-1))=$B27),O$6,"")</f>
        <v>#N/A</v>
      </c>
      <c r="P27" t="e" cm="1">
        <f t="array" aca="1" ref="P27" ca="1">IF(AND(O27&lt;&gt;"",INDIRECT($C$2&amp;ADDRESS($H$2+$G27-1,$I$2+$J$2+P$6-1))=$B27),P$6,"")</f>
        <v>#N/A</v>
      </c>
    </row>
    <row r="28" spans="1:16">
      <c r="A28">
        <v>22</v>
      </c>
      <c r="B28" t="str">
        <f t="shared" ca="1" si="3"/>
        <v/>
      </c>
      <c r="C28" t="str">
        <f t="shared" ca="1" si="4"/>
        <v/>
      </c>
      <c r="D28" t="str">
        <f t="shared" ca="1" si="5"/>
        <v/>
      </c>
      <c r="E28" t="str">
        <f t="shared" ca="1" si="6"/>
        <v/>
      </c>
      <c r="G28" t="e">
        <f t="shared" ca="1" si="0"/>
        <v>#N/A</v>
      </c>
      <c r="H28" t="e">
        <f t="shared" ca="1" si="7"/>
        <v>#N/A</v>
      </c>
      <c r="I28" t="e">
        <f t="shared" ca="1" si="1"/>
        <v>#N/A</v>
      </c>
      <c r="J28" t="e">
        <f t="shared" ca="1" si="2"/>
        <v>#N/A</v>
      </c>
      <c r="K28" t="e" cm="1">
        <f t="array" aca="1" ref="K28" ca="1">IF(INDIRECT($C$2&amp;ADDRESS($H$2+$G28-1,$I$2+$J$2+K$6-1))=$B28,K$6,"")</f>
        <v>#N/A</v>
      </c>
      <c r="L28" t="e" cm="1">
        <f t="array" aca="1" ref="L28" ca="1">IF(AND(K28&lt;&gt;"",INDIRECT($C$2&amp;ADDRESS($H$2+$G28-1,$I$2+$J$2+L$6-1))=$B28),L$6,"")</f>
        <v>#N/A</v>
      </c>
      <c r="M28" t="e" cm="1">
        <f t="array" aca="1" ref="M28" ca="1">IF(AND(L28&lt;&gt;"",INDIRECT($C$2&amp;ADDRESS($H$2+$G28-1,$I$2+$J$2+M$6-1))=$B28),M$6,"")</f>
        <v>#N/A</v>
      </c>
      <c r="N28" t="e" cm="1">
        <f t="array" aca="1" ref="N28" ca="1">IF(AND(M28&lt;&gt;"",INDIRECT($C$2&amp;ADDRESS($H$2+$G28-1,$I$2+$J$2+N$6-1))=$B28),N$6,"")</f>
        <v>#N/A</v>
      </c>
      <c r="O28" t="e" cm="1">
        <f t="array" aca="1" ref="O28" ca="1">IF(AND(N28&lt;&gt;"",INDIRECT($C$2&amp;ADDRESS($H$2+$G28-1,$I$2+$J$2+O$6-1))=$B28),O$6,"")</f>
        <v>#N/A</v>
      </c>
      <c r="P28" t="e" cm="1">
        <f t="array" aca="1" ref="P28" ca="1">IF(AND(O28&lt;&gt;"",INDIRECT($C$2&amp;ADDRESS($H$2+$G28-1,$I$2+$J$2+P$6-1))=$B28),P$6,"")</f>
        <v>#N/A</v>
      </c>
    </row>
    <row r="29" spans="1:16">
      <c r="A29">
        <v>23</v>
      </c>
      <c r="B29" t="str">
        <f t="shared" ca="1" si="3"/>
        <v/>
      </c>
      <c r="C29" t="str">
        <f t="shared" ca="1" si="4"/>
        <v/>
      </c>
      <c r="D29" t="str">
        <f t="shared" ca="1" si="5"/>
        <v/>
      </c>
      <c r="E29" t="str">
        <f t="shared" ca="1" si="6"/>
        <v/>
      </c>
      <c r="G29" t="e">
        <f t="shared" ca="1" si="0"/>
        <v>#N/A</v>
      </c>
      <c r="H29" t="e">
        <f t="shared" ca="1" si="7"/>
        <v>#N/A</v>
      </c>
      <c r="I29" t="e">
        <f t="shared" ca="1" si="1"/>
        <v>#N/A</v>
      </c>
      <c r="J29" t="e">
        <f t="shared" ca="1" si="2"/>
        <v>#N/A</v>
      </c>
      <c r="K29" t="e" cm="1">
        <f t="array" aca="1" ref="K29" ca="1">IF(INDIRECT($C$2&amp;ADDRESS($H$2+$G29-1,$I$2+$J$2+K$6-1))=$B29,K$6,"")</f>
        <v>#N/A</v>
      </c>
      <c r="L29" t="e" cm="1">
        <f t="array" aca="1" ref="L29" ca="1">IF(AND(K29&lt;&gt;"",INDIRECT($C$2&amp;ADDRESS($H$2+$G29-1,$I$2+$J$2+L$6-1))=$B29),L$6,"")</f>
        <v>#N/A</v>
      </c>
      <c r="M29" t="e" cm="1">
        <f t="array" aca="1" ref="M29" ca="1">IF(AND(L29&lt;&gt;"",INDIRECT($C$2&amp;ADDRESS($H$2+$G29-1,$I$2+$J$2+M$6-1))=$B29),M$6,"")</f>
        <v>#N/A</v>
      </c>
      <c r="N29" t="e" cm="1">
        <f t="array" aca="1" ref="N29" ca="1">IF(AND(M29&lt;&gt;"",INDIRECT($C$2&amp;ADDRESS($H$2+$G29-1,$I$2+$J$2+N$6-1))=$B29),N$6,"")</f>
        <v>#N/A</v>
      </c>
      <c r="O29" t="e" cm="1">
        <f t="array" aca="1" ref="O29" ca="1">IF(AND(N29&lt;&gt;"",INDIRECT($C$2&amp;ADDRESS($H$2+$G29-1,$I$2+$J$2+O$6-1))=$B29),O$6,"")</f>
        <v>#N/A</v>
      </c>
      <c r="P29" t="e" cm="1">
        <f t="array" aca="1" ref="P29" ca="1">IF(AND(O29&lt;&gt;"",INDIRECT($C$2&amp;ADDRESS($H$2+$G29-1,$I$2+$J$2+P$6-1))=$B29),P$6,"")</f>
        <v>#N/A</v>
      </c>
    </row>
    <row r="30" spans="1:16">
      <c r="A30">
        <v>24</v>
      </c>
      <c r="B30" t="str">
        <f t="shared" ca="1" si="3"/>
        <v/>
      </c>
      <c r="C30" t="str">
        <f t="shared" ca="1" si="4"/>
        <v/>
      </c>
      <c r="D30" t="str">
        <f t="shared" ca="1" si="5"/>
        <v/>
      </c>
      <c r="E30" t="str">
        <f t="shared" ca="1" si="6"/>
        <v/>
      </c>
      <c r="G30" t="e">
        <f t="shared" ca="1" si="0"/>
        <v>#N/A</v>
      </c>
      <c r="H30" t="e">
        <f t="shared" ca="1" si="7"/>
        <v>#N/A</v>
      </c>
      <c r="I30" t="e">
        <f t="shared" ca="1" si="1"/>
        <v>#N/A</v>
      </c>
      <c r="J30" t="e">
        <f t="shared" ca="1" si="2"/>
        <v>#N/A</v>
      </c>
      <c r="K30" t="e" cm="1">
        <f t="array" aca="1" ref="K30" ca="1">IF(INDIRECT($C$2&amp;ADDRESS($H$2+$G30-1,$I$2+$J$2+K$6-1))=$B30,K$6,"")</f>
        <v>#N/A</v>
      </c>
      <c r="L30" t="e" cm="1">
        <f t="array" aca="1" ref="L30" ca="1">IF(AND(K30&lt;&gt;"",INDIRECT($C$2&amp;ADDRESS($H$2+$G30-1,$I$2+$J$2+L$6-1))=$B30),L$6,"")</f>
        <v>#N/A</v>
      </c>
      <c r="M30" t="e" cm="1">
        <f t="array" aca="1" ref="M30" ca="1">IF(AND(L30&lt;&gt;"",INDIRECT($C$2&amp;ADDRESS($H$2+$G30-1,$I$2+$J$2+M$6-1))=$B30),M$6,"")</f>
        <v>#N/A</v>
      </c>
      <c r="N30" t="e" cm="1">
        <f t="array" aca="1" ref="N30" ca="1">IF(AND(M30&lt;&gt;"",INDIRECT($C$2&amp;ADDRESS($H$2+$G30-1,$I$2+$J$2+N$6-1))=$B30),N$6,"")</f>
        <v>#N/A</v>
      </c>
      <c r="O30" t="e" cm="1">
        <f t="array" aca="1" ref="O30" ca="1">IF(AND(N30&lt;&gt;"",INDIRECT($C$2&amp;ADDRESS($H$2+$G30-1,$I$2+$J$2+O$6-1))=$B30),O$6,"")</f>
        <v>#N/A</v>
      </c>
      <c r="P30" t="e" cm="1">
        <f t="array" aca="1" ref="P30" ca="1">IF(AND(O30&lt;&gt;"",INDIRECT($C$2&amp;ADDRESS($H$2+$G30-1,$I$2+$J$2+P$6-1))=$B30),P$6,"")</f>
        <v>#N/A</v>
      </c>
    </row>
    <row r="31" spans="1:16">
      <c r="A31">
        <v>25</v>
      </c>
      <c r="B31" t="str">
        <f t="shared" ca="1" si="3"/>
        <v/>
      </c>
      <c r="C31" t="str">
        <f t="shared" ca="1" si="4"/>
        <v/>
      </c>
      <c r="D31" t="str">
        <f t="shared" ca="1" si="5"/>
        <v/>
      </c>
      <c r="E31" t="str">
        <f t="shared" ca="1" si="6"/>
        <v/>
      </c>
      <c r="G31" t="e">
        <f t="shared" ca="1" si="0"/>
        <v>#N/A</v>
      </c>
      <c r="H31" t="e">
        <f t="shared" ca="1" si="7"/>
        <v>#N/A</v>
      </c>
      <c r="I31" t="e">
        <f t="shared" ca="1" si="1"/>
        <v>#N/A</v>
      </c>
      <c r="J31" t="e">
        <f t="shared" ca="1" si="2"/>
        <v>#N/A</v>
      </c>
      <c r="K31" t="e" cm="1">
        <f t="array" aca="1" ref="K31" ca="1">IF(INDIRECT($C$2&amp;ADDRESS($H$2+$G31-1,$I$2+$J$2+K$6-1))=$B31,K$6,"")</f>
        <v>#N/A</v>
      </c>
      <c r="L31" t="e" cm="1">
        <f t="array" aca="1" ref="L31" ca="1">IF(AND(K31&lt;&gt;"",INDIRECT($C$2&amp;ADDRESS($H$2+$G31-1,$I$2+$J$2+L$6-1))=$B31),L$6,"")</f>
        <v>#N/A</v>
      </c>
      <c r="M31" t="e" cm="1">
        <f t="array" aca="1" ref="M31" ca="1">IF(AND(L31&lt;&gt;"",INDIRECT($C$2&amp;ADDRESS($H$2+$G31-1,$I$2+$J$2+M$6-1))=$B31),M$6,"")</f>
        <v>#N/A</v>
      </c>
      <c r="N31" t="e" cm="1">
        <f t="array" aca="1" ref="N31" ca="1">IF(AND(M31&lt;&gt;"",INDIRECT($C$2&amp;ADDRESS($H$2+$G31-1,$I$2+$J$2+N$6-1))=$B31),N$6,"")</f>
        <v>#N/A</v>
      </c>
      <c r="O31" t="e" cm="1">
        <f t="array" aca="1" ref="O31" ca="1">IF(AND(N31&lt;&gt;"",INDIRECT($C$2&amp;ADDRESS($H$2+$G31-1,$I$2+$J$2+O$6-1))=$B31),O$6,"")</f>
        <v>#N/A</v>
      </c>
      <c r="P31" t="e" cm="1">
        <f t="array" aca="1" ref="P31" ca="1">IF(AND(O31&lt;&gt;"",INDIRECT($C$2&amp;ADDRESS($H$2+$G31-1,$I$2+$J$2+P$6-1))=$B31),P$6,"")</f>
        <v>#N/A</v>
      </c>
    </row>
    <row r="32" spans="1:16">
      <c r="A32">
        <v>26</v>
      </c>
      <c r="B32" t="str">
        <f t="shared" ca="1" si="3"/>
        <v/>
      </c>
      <c r="C32" t="str">
        <f t="shared" ca="1" si="4"/>
        <v/>
      </c>
      <c r="D32" t="str">
        <f t="shared" ca="1" si="5"/>
        <v/>
      </c>
      <c r="E32" t="str">
        <f t="shared" ca="1" si="6"/>
        <v/>
      </c>
      <c r="G32" t="e">
        <f t="shared" ca="1" si="0"/>
        <v>#N/A</v>
      </c>
      <c r="H32" t="e">
        <f t="shared" ca="1" si="7"/>
        <v>#N/A</v>
      </c>
      <c r="I32" t="e">
        <f t="shared" ca="1" si="1"/>
        <v>#N/A</v>
      </c>
      <c r="J32" t="e">
        <f t="shared" ca="1" si="2"/>
        <v>#N/A</v>
      </c>
      <c r="K32" t="e" cm="1">
        <f t="array" aca="1" ref="K32" ca="1">IF(INDIRECT($C$2&amp;ADDRESS($H$2+$G32-1,$I$2+$J$2+K$6-1))=$B32,K$6,"")</f>
        <v>#N/A</v>
      </c>
      <c r="L32" t="e" cm="1">
        <f t="array" aca="1" ref="L32" ca="1">IF(AND(K32&lt;&gt;"",INDIRECT($C$2&amp;ADDRESS($H$2+$G32-1,$I$2+$J$2+L$6-1))=$B32),L$6,"")</f>
        <v>#N/A</v>
      </c>
      <c r="M32" t="e" cm="1">
        <f t="array" aca="1" ref="M32" ca="1">IF(AND(L32&lt;&gt;"",INDIRECT($C$2&amp;ADDRESS($H$2+$G32-1,$I$2+$J$2+M$6-1))=$B32),M$6,"")</f>
        <v>#N/A</v>
      </c>
      <c r="N32" t="e" cm="1">
        <f t="array" aca="1" ref="N32" ca="1">IF(AND(M32&lt;&gt;"",INDIRECT($C$2&amp;ADDRESS($H$2+$G32-1,$I$2+$J$2+N$6-1))=$B32),N$6,"")</f>
        <v>#N/A</v>
      </c>
      <c r="O32" t="e" cm="1">
        <f t="array" aca="1" ref="O32" ca="1">IF(AND(N32&lt;&gt;"",INDIRECT($C$2&amp;ADDRESS($H$2+$G32-1,$I$2+$J$2+O$6-1))=$B32),O$6,"")</f>
        <v>#N/A</v>
      </c>
      <c r="P32" t="e" cm="1">
        <f t="array" aca="1" ref="P32" ca="1">IF(AND(O32&lt;&gt;"",INDIRECT($C$2&amp;ADDRESS($H$2+$G32-1,$I$2+$J$2+P$6-1))=$B32),P$6,"")</f>
        <v>#N/A</v>
      </c>
    </row>
    <row r="33" spans="1:16">
      <c r="A33">
        <v>27</v>
      </c>
      <c r="B33" t="str">
        <f t="shared" ca="1" si="3"/>
        <v/>
      </c>
      <c r="C33" t="str">
        <f t="shared" ca="1" si="4"/>
        <v/>
      </c>
      <c r="D33" t="str">
        <f t="shared" ca="1" si="5"/>
        <v/>
      </c>
      <c r="E33" t="str">
        <f t="shared" ca="1" si="6"/>
        <v/>
      </c>
      <c r="G33" t="e">
        <f t="shared" ca="1" si="0"/>
        <v>#N/A</v>
      </c>
      <c r="H33" t="e">
        <f t="shared" ca="1" si="7"/>
        <v>#N/A</v>
      </c>
      <c r="I33" t="e">
        <f t="shared" ca="1" si="1"/>
        <v>#N/A</v>
      </c>
      <c r="J33" t="e">
        <f t="shared" ca="1" si="2"/>
        <v>#N/A</v>
      </c>
      <c r="K33" t="e" cm="1">
        <f t="array" aca="1" ref="K33" ca="1">IF(INDIRECT($C$2&amp;ADDRESS($H$2+$G33-1,$I$2+$J$2+K$6-1))=$B33,K$6,"")</f>
        <v>#N/A</v>
      </c>
      <c r="L33" t="e" cm="1">
        <f t="array" aca="1" ref="L33" ca="1">IF(AND(K33&lt;&gt;"",INDIRECT($C$2&amp;ADDRESS($H$2+$G33-1,$I$2+$J$2+L$6-1))=$B33),L$6,"")</f>
        <v>#N/A</v>
      </c>
      <c r="M33" t="e" cm="1">
        <f t="array" aca="1" ref="M33" ca="1">IF(AND(L33&lt;&gt;"",INDIRECT($C$2&amp;ADDRESS($H$2+$G33-1,$I$2+$J$2+M$6-1))=$B33),M$6,"")</f>
        <v>#N/A</v>
      </c>
      <c r="N33" t="e" cm="1">
        <f t="array" aca="1" ref="N33" ca="1">IF(AND(M33&lt;&gt;"",INDIRECT($C$2&amp;ADDRESS($H$2+$G33-1,$I$2+$J$2+N$6-1))=$B33),N$6,"")</f>
        <v>#N/A</v>
      </c>
      <c r="O33" t="e" cm="1">
        <f t="array" aca="1" ref="O33" ca="1">IF(AND(N33&lt;&gt;"",INDIRECT($C$2&amp;ADDRESS($H$2+$G33-1,$I$2+$J$2+O$6-1))=$B33),O$6,"")</f>
        <v>#N/A</v>
      </c>
      <c r="P33" t="e" cm="1">
        <f t="array" aca="1" ref="P33" ca="1">IF(AND(O33&lt;&gt;"",INDIRECT($C$2&amp;ADDRESS($H$2+$G33-1,$I$2+$J$2+P$6-1))=$B33),P$6,"")</f>
        <v>#N/A</v>
      </c>
    </row>
    <row r="34" spans="1:16">
      <c r="A34">
        <v>28</v>
      </c>
      <c r="B34" t="str">
        <f t="shared" ca="1" si="3"/>
        <v/>
      </c>
      <c r="C34" t="str">
        <f t="shared" ca="1" si="4"/>
        <v/>
      </c>
      <c r="D34" t="str">
        <f t="shared" ca="1" si="5"/>
        <v/>
      </c>
      <c r="E34" t="str">
        <f t="shared" ca="1" si="6"/>
        <v/>
      </c>
      <c r="G34" t="e">
        <f t="shared" ca="1" si="0"/>
        <v>#N/A</v>
      </c>
      <c r="H34" t="e">
        <f t="shared" ca="1" si="7"/>
        <v>#N/A</v>
      </c>
      <c r="I34" t="e">
        <f t="shared" ca="1" si="1"/>
        <v>#N/A</v>
      </c>
      <c r="J34" t="e">
        <f t="shared" ca="1" si="2"/>
        <v>#N/A</v>
      </c>
      <c r="K34" t="e" cm="1">
        <f t="array" aca="1" ref="K34" ca="1">IF(INDIRECT($C$2&amp;ADDRESS($H$2+$G34-1,$I$2+$J$2+K$6-1))=$B34,K$6,"")</f>
        <v>#N/A</v>
      </c>
      <c r="L34" t="e" cm="1">
        <f t="array" aca="1" ref="L34" ca="1">IF(AND(K34&lt;&gt;"",INDIRECT($C$2&amp;ADDRESS($H$2+$G34-1,$I$2+$J$2+L$6-1))=$B34),L$6,"")</f>
        <v>#N/A</v>
      </c>
      <c r="M34" t="e" cm="1">
        <f t="array" aca="1" ref="M34" ca="1">IF(AND(L34&lt;&gt;"",INDIRECT($C$2&amp;ADDRESS($H$2+$G34-1,$I$2+$J$2+M$6-1))=$B34),M$6,"")</f>
        <v>#N/A</v>
      </c>
      <c r="N34" t="e" cm="1">
        <f t="array" aca="1" ref="N34" ca="1">IF(AND(M34&lt;&gt;"",INDIRECT($C$2&amp;ADDRESS($H$2+$G34-1,$I$2+$J$2+N$6-1))=$B34),N$6,"")</f>
        <v>#N/A</v>
      </c>
      <c r="O34" t="e" cm="1">
        <f t="array" aca="1" ref="O34" ca="1">IF(AND(N34&lt;&gt;"",INDIRECT($C$2&amp;ADDRESS($H$2+$G34-1,$I$2+$J$2+O$6-1))=$B34),O$6,"")</f>
        <v>#N/A</v>
      </c>
      <c r="P34" t="e" cm="1">
        <f t="array" aca="1" ref="P34" ca="1">IF(AND(O34&lt;&gt;"",INDIRECT($C$2&amp;ADDRESS($H$2+$G34-1,$I$2+$J$2+P$6-1))=$B34),P$6,"")</f>
        <v>#N/A</v>
      </c>
    </row>
    <row r="35" spans="1:16">
      <c r="A35">
        <v>29</v>
      </c>
      <c r="B35" t="str">
        <f t="shared" ca="1" si="3"/>
        <v/>
      </c>
      <c r="C35" t="str">
        <f t="shared" ca="1" si="4"/>
        <v/>
      </c>
      <c r="D35" t="str">
        <f t="shared" ca="1" si="5"/>
        <v/>
      </c>
      <c r="E35" t="str">
        <f t="shared" ca="1" si="6"/>
        <v/>
      </c>
      <c r="G35" t="e">
        <f t="shared" ca="1" si="0"/>
        <v>#N/A</v>
      </c>
      <c r="H35" t="e">
        <f t="shared" ca="1" si="7"/>
        <v>#N/A</v>
      </c>
      <c r="I35" t="e">
        <f t="shared" ca="1" si="1"/>
        <v>#N/A</v>
      </c>
      <c r="J35" t="e">
        <f t="shared" ca="1" si="2"/>
        <v>#N/A</v>
      </c>
      <c r="K35" t="e" cm="1">
        <f t="array" aca="1" ref="K35" ca="1">IF(INDIRECT($C$2&amp;ADDRESS($H$2+$G35-1,$I$2+$J$2+K$6-1))=$B35,K$6,"")</f>
        <v>#N/A</v>
      </c>
      <c r="L35" t="e" cm="1">
        <f t="array" aca="1" ref="L35" ca="1">IF(AND(K35&lt;&gt;"",INDIRECT($C$2&amp;ADDRESS($H$2+$G35-1,$I$2+$J$2+L$6-1))=$B35),L$6,"")</f>
        <v>#N/A</v>
      </c>
      <c r="M35" t="e" cm="1">
        <f t="array" aca="1" ref="M35" ca="1">IF(AND(L35&lt;&gt;"",INDIRECT($C$2&amp;ADDRESS($H$2+$G35-1,$I$2+$J$2+M$6-1))=$B35),M$6,"")</f>
        <v>#N/A</v>
      </c>
      <c r="N35" t="e" cm="1">
        <f t="array" aca="1" ref="N35" ca="1">IF(AND(M35&lt;&gt;"",INDIRECT($C$2&amp;ADDRESS($H$2+$G35-1,$I$2+$J$2+N$6-1))=$B35),N$6,"")</f>
        <v>#N/A</v>
      </c>
      <c r="O35" t="e" cm="1">
        <f t="array" aca="1" ref="O35" ca="1">IF(AND(N35&lt;&gt;"",INDIRECT($C$2&amp;ADDRESS($H$2+$G35-1,$I$2+$J$2+O$6-1))=$B35),O$6,"")</f>
        <v>#N/A</v>
      </c>
      <c r="P35" t="e" cm="1">
        <f t="array" aca="1" ref="P35" ca="1">IF(AND(O35&lt;&gt;"",INDIRECT($C$2&amp;ADDRESS($H$2+$G35-1,$I$2+$J$2+P$6-1))=$B35),P$6,"")</f>
        <v>#N/A</v>
      </c>
    </row>
    <row r="36" spans="1:16">
      <c r="A36">
        <v>30</v>
      </c>
      <c r="B36" t="str">
        <f t="shared" ca="1" si="3"/>
        <v/>
      </c>
      <c r="C36" t="str">
        <f t="shared" ca="1" si="4"/>
        <v/>
      </c>
      <c r="D36" t="str">
        <f t="shared" ca="1" si="5"/>
        <v/>
      </c>
      <c r="E36" t="str">
        <f t="shared" ca="1" si="6"/>
        <v/>
      </c>
      <c r="G36" t="e">
        <f t="shared" ca="1" si="0"/>
        <v>#N/A</v>
      </c>
      <c r="H36" t="e">
        <f t="shared" ca="1" si="7"/>
        <v>#N/A</v>
      </c>
      <c r="I36" t="e">
        <f t="shared" ca="1" si="1"/>
        <v>#N/A</v>
      </c>
      <c r="J36" t="e">
        <f t="shared" ca="1" si="2"/>
        <v>#N/A</v>
      </c>
      <c r="K36" t="e" cm="1">
        <f t="array" aca="1" ref="K36" ca="1">IF(INDIRECT($C$2&amp;ADDRESS($H$2+$G36-1,$I$2+$J$2+K$6-1))=$B36,K$6,"")</f>
        <v>#N/A</v>
      </c>
      <c r="L36" t="e" cm="1">
        <f t="array" aca="1" ref="L36" ca="1">IF(AND(K36&lt;&gt;"",INDIRECT($C$2&amp;ADDRESS($H$2+$G36-1,$I$2+$J$2+L$6-1))=$B36),L$6,"")</f>
        <v>#N/A</v>
      </c>
      <c r="M36" t="e" cm="1">
        <f t="array" aca="1" ref="M36" ca="1">IF(AND(L36&lt;&gt;"",INDIRECT($C$2&amp;ADDRESS($H$2+$G36-1,$I$2+$J$2+M$6-1))=$B36),M$6,"")</f>
        <v>#N/A</v>
      </c>
      <c r="N36" t="e" cm="1">
        <f t="array" aca="1" ref="N36" ca="1">IF(AND(M36&lt;&gt;"",INDIRECT($C$2&amp;ADDRESS($H$2+$G36-1,$I$2+$J$2+N$6-1))=$B36),N$6,"")</f>
        <v>#N/A</v>
      </c>
      <c r="O36" t="e" cm="1">
        <f t="array" aca="1" ref="O36" ca="1">IF(AND(N36&lt;&gt;"",INDIRECT($C$2&amp;ADDRESS($H$2+$G36-1,$I$2+$J$2+O$6-1))=$B36),O$6,"")</f>
        <v>#N/A</v>
      </c>
      <c r="P36" t="e" cm="1">
        <f t="array" aca="1" ref="P36" ca="1">IF(AND(O36&lt;&gt;"",INDIRECT($C$2&amp;ADDRESS($H$2+$G36-1,$I$2+$J$2+P$6-1))=$B36),P$6,"")</f>
        <v>#N/A</v>
      </c>
    </row>
    <row r="37" spans="1:16">
      <c r="A37">
        <v>31</v>
      </c>
      <c r="B37" t="str">
        <f t="shared" ca="1" si="3"/>
        <v/>
      </c>
      <c r="C37" t="str">
        <f t="shared" ca="1" si="4"/>
        <v/>
      </c>
      <c r="D37" t="str">
        <f t="shared" ca="1" si="5"/>
        <v/>
      </c>
      <c r="E37" t="str">
        <f t="shared" ca="1" si="6"/>
        <v/>
      </c>
      <c r="G37" t="e">
        <f t="shared" ca="1" si="0"/>
        <v>#N/A</v>
      </c>
      <c r="H37" t="e">
        <f t="shared" ca="1" si="7"/>
        <v>#N/A</v>
      </c>
      <c r="I37" t="e">
        <f t="shared" ca="1" si="1"/>
        <v>#N/A</v>
      </c>
      <c r="J37" t="e">
        <f t="shared" ca="1" si="2"/>
        <v>#N/A</v>
      </c>
      <c r="K37" t="e" cm="1">
        <f t="array" aca="1" ref="K37" ca="1">IF(INDIRECT($C$2&amp;ADDRESS($H$2+$G37-1,$I$2+$J$2+K$6-1))=$B37,K$6,"")</f>
        <v>#N/A</v>
      </c>
      <c r="L37" t="e" cm="1">
        <f t="array" aca="1" ref="L37" ca="1">IF(AND(K37&lt;&gt;"",INDIRECT($C$2&amp;ADDRESS($H$2+$G37-1,$I$2+$J$2+L$6-1))=$B37),L$6,"")</f>
        <v>#N/A</v>
      </c>
      <c r="M37" t="e" cm="1">
        <f t="array" aca="1" ref="M37" ca="1">IF(AND(L37&lt;&gt;"",INDIRECT($C$2&amp;ADDRESS($H$2+$G37-1,$I$2+$J$2+M$6-1))=$B37),M$6,"")</f>
        <v>#N/A</v>
      </c>
      <c r="N37" t="e" cm="1">
        <f t="array" aca="1" ref="N37" ca="1">IF(AND(M37&lt;&gt;"",INDIRECT($C$2&amp;ADDRESS($H$2+$G37-1,$I$2+$J$2+N$6-1))=$B37),N$6,"")</f>
        <v>#N/A</v>
      </c>
      <c r="O37" t="e" cm="1">
        <f t="array" aca="1" ref="O37" ca="1">IF(AND(N37&lt;&gt;"",INDIRECT($C$2&amp;ADDRESS($H$2+$G37-1,$I$2+$J$2+O$6-1))=$B37),O$6,"")</f>
        <v>#N/A</v>
      </c>
      <c r="P37" t="e" cm="1">
        <f t="array" aca="1" ref="P37" ca="1">IF(AND(O37&lt;&gt;"",INDIRECT($C$2&amp;ADDRESS($H$2+$G37-1,$I$2+$J$2+P$6-1))=$B37),P$6,"")</f>
        <v>#N/A</v>
      </c>
    </row>
    <row r="38" spans="1:16">
      <c r="A38">
        <v>32</v>
      </c>
      <c r="B38" t="str">
        <f t="shared" ca="1" si="3"/>
        <v/>
      </c>
      <c r="C38" t="str">
        <f t="shared" ca="1" si="4"/>
        <v/>
      </c>
      <c r="D38" t="str">
        <f t="shared" ca="1" si="5"/>
        <v/>
      </c>
      <c r="E38" t="str">
        <f t="shared" ca="1" si="6"/>
        <v/>
      </c>
      <c r="G38" t="e">
        <f t="shared" ca="1" si="0"/>
        <v>#N/A</v>
      </c>
      <c r="H38" t="e">
        <f t="shared" ca="1" si="7"/>
        <v>#N/A</v>
      </c>
      <c r="I38" t="e">
        <f t="shared" ca="1" si="1"/>
        <v>#N/A</v>
      </c>
      <c r="J38" t="e">
        <f t="shared" ca="1" si="2"/>
        <v>#N/A</v>
      </c>
      <c r="K38" t="e" cm="1">
        <f t="array" aca="1" ref="K38" ca="1">IF(INDIRECT($C$2&amp;ADDRESS($H$2+$G38-1,$I$2+$J$2+K$6-1))=$B38,K$6,"")</f>
        <v>#N/A</v>
      </c>
      <c r="L38" t="e" cm="1">
        <f t="array" aca="1" ref="L38" ca="1">IF(AND(K38&lt;&gt;"",INDIRECT($C$2&amp;ADDRESS($H$2+$G38-1,$I$2+$J$2+L$6-1))=$B38),L$6,"")</f>
        <v>#N/A</v>
      </c>
      <c r="M38" t="e" cm="1">
        <f t="array" aca="1" ref="M38" ca="1">IF(AND(L38&lt;&gt;"",INDIRECT($C$2&amp;ADDRESS($H$2+$G38-1,$I$2+$J$2+M$6-1))=$B38),M$6,"")</f>
        <v>#N/A</v>
      </c>
      <c r="N38" t="e" cm="1">
        <f t="array" aca="1" ref="N38" ca="1">IF(AND(M38&lt;&gt;"",INDIRECT($C$2&amp;ADDRESS($H$2+$G38-1,$I$2+$J$2+N$6-1))=$B38),N$6,"")</f>
        <v>#N/A</v>
      </c>
      <c r="O38" t="e" cm="1">
        <f t="array" aca="1" ref="O38" ca="1">IF(AND(N38&lt;&gt;"",INDIRECT($C$2&amp;ADDRESS($H$2+$G38-1,$I$2+$J$2+O$6-1))=$B38),O$6,"")</f>
        <v>#N/A</v>
      </c>
      <c r="P38" t="e" cm="1">
        <f t="array" aca="1" ref="P38" ca="1">IF(AND(O38&lt;&gt;"",INDIRECT($C$2&amp;ADDRESS($H$2+$G38-1,$I$2+$J$2+P$6-1))=$B38),P$6,"")</f>
        <v>#N/A</v>
      </c>
    </row>
    <row r="39" spans="1:16">
      <c r="A39">
        <v>33</v>
      </c>
      <c r="B39" t="str">
        <f t="shared" ca="1" si="3"/>
        <v/>
      </c>
      <c r="C39" t="str">
        <f t="shared" ca="1" si="4"/>
        <v/>
      </c>
      <c r="D39" t="str">
        <f t="shared" ca="1" si="5"/>
        <v/>
      </c>
      <c r="E39" t="str">
        <f t="shared" ca="1" si="6"/>
        <v/>
      </c>
      <c r="G39" t="e">
        <f t="shared" ref="G39:G48" ca="1" si="8">MATCH(C39,INDIRECT($C$2&amp;$G$2),0)</f>
        <v>#N/A</v>
      </c>
      <c r="H39" t="e">
        <f t="shared" ca="1" si="7"/>
        <v>#N/A</v>
      </c>
      <c r="I39" t="e">
        <f t="shared" ref="I39:I48" ca="1" si="9">MATCH(B39,INDIRECT($C$2&amp;H39),0)</f>
        <v>#N/A</v>
      </c>
      <c r="J39" t="e">
        <f t="shared" ref="J39:J48" ca="1" si="10">COUNTIF(INDIRECT($C$2&amp;H39),B39)+1</f>
        <v>#N/A</v>
      </c>
      <c r="K39" t="e" cm="1">
        <f t="array" aca="1" ref="K39" ca="1">IF(INDIRECT($C$2&amp;ADDRESS($H$2+$G39-1,$I$2+$J$2+K$6-1))=$B39,K$6,"")</f>
        <v>#N/A</v>
      </c>
      <c r="L39" t="e" cm="1">
        <f t="array" aca="1" ref="L39" ca="1">IF(AND(K39&lt;&gt;"",INDIRECT($C$2&amp;ADDRESS($H$2+$G39-1,$I$2+$J$2+L$6-1))=$B39),L$6,"")</f>
        <v>#N/A</v>
      </c>
      <c r="M39" t="e" cm="1">
        <f t="array" aca="1" ref="M39" ca="1">IF(AND(L39&lt;&gt;"",INDIRECT($C$2&amp;ADDRESS($H$2+$G39-1,$I$2+$J$2+M$6-1))=$B39),M$6,"")</f>
        <v>#N/A</v>
      </c>
      <c r="N39" t="e" cm="1">
        <f t="array" aca="1" ref="N39" ca="1">IF(AND(M39&lt;&gt;"",INDIRECT($C$2&amp;ADDRESS($H$2+$G39-1,$I$2+$J$2+N$6-1))=$B39),N$6,"")</f>
        <v>#N/A</v>
      </c>
      <c r="O39" t="e" cm="1">
        <f t="array" aca="1" ref="O39" ca="1">IF(AND(N39&lt;&gt;"",INDIRECT($C$2&amp;ADDRESS($H$2+$G39-1,$I$2+$J$2+O$6-1))=$B39),O$6,"")</f>
        <v>#N/A</v>
      </c>
      <c r="P39" t="e" cm="1">
        <f t="array" aca="1" ref="P39" ca="1">IF(AND(O39&lt;&gt;"",INDIRECT($C$2&amp;ADDRESS($H$2+$G39-1,$I$2+$J$2+P$6-1))=$B39),P$6,"")</f>
        <v>#N/A</v>
      </c>
    </row>
    <row r="40" spans="1:16">
      <c r="A40">
        <v>34</v>
      </c>
      <c r="B40" t="str">
        <f t="shared" ca="1" si="3"/>
        <v/>
      </c>
      <c r="C40" t="str">
        <f t="shared" ca="1" si="4"/>
        <v/>
      </c>
      <c r="D40" t="str">
        <f t="shared" ca="1" si="5"/>
        <v/>
      </c>
      <c r="E40" t="str">
        <f t="shared" ca="1" si="6"/>
        <v/>
      </c>
      <c r="G40" t="e">
        <f t="shared" ca="1" si="8"/>
        <v>#N/A</v>
      </c>
      <c r="H40" t="e">
        <f t="shared" ca="1" si="7"/>
        <v>#N/A</v>
      </c>
      <c r="I40" t="e">
        <f t="shared" ca="1" si="9"/>
        <v>#N/A</v>
      </c>
      <c r="J40" t="e">
        <f t="shared" ca="1" si="10"/>
        <v>#N/A</v>
      </c>
      <c r="K40" t="e" cm="1">
        <f t="array" aca="1" ref="K40" ca="1">IF(INDIRECT($C$2&amp;ADDRESS($H$2+$G40-1,$I$2+$J$2+K$6-1))=$B40,K$6,"")</f>
        <v>#N/A</v>
      </c>
      <c r="L40" t="e" cm="1">
        <f t="array" aca="1" ref="L40" ca="1">IF(AND(K40&lt;&gt;"",INDIRECT($C$2&amp;ADDRESS($H$2+$G40-1,$I$2+$J$2+L$6-1))=$B40),L$6,"")</f>
        <v>#N/A</v>
      </c>
      <c r="M40" t="e" cm="1">
        <f t="array" aca="1" ref="M40" ca="1">IF(AND(L40&lt;&gt;"",INDIRECT($C$2&amp;ADDRESS($H$2+$G40-1,$I$2+$J$2+M$6-1))=$B40),M$6,"")</f>
        <v>#N/A</v>
      </c>
      <c r="N40" t="e" cm="1">
        <f t="array" aca="1" ref="N40" ca="1">IF(AND(M40&lt;&gt;"",INDIRECT($C$2&amp;ADDRESS($H$2+$G40-1,$I$2+$J$2+N$6-1))=$B40),N$6,"")</f>
        <v>#N/A</v>
      </c>
      <c r="O40" t="e" cm="1">
        <f t="array" aca="1" ref="O40" ca="1">IF(AND(N40&lt;&gt;"",INDIRECT($C$2&amp;ADDRESS($H$2+$G40-1,$I$2+$J$2+O$6-1))=$B40),O$6,"")</f>
        <v>#N/A</v>
      </c>
      <c r="P40" t="e" cm="1">
        <f t="array" aca="1" ref="P40" ca="1">IF(AND(O40&lt;&gt;"",INDIRECT($C$2&amp;ADDRESS($H$2+$G40-1,$I$2+$J$2+P$6-1))=$B40),P$6,"")</f>
        <v>#N/A</v>
      </c>
    </row>
    <row r="41" spans="1:16">
      <c r="A41">
        <v>35</v>
      </c>
      <c r="B41" t="str">
        <f t="shared" ca="1" si="3"/>
        <v/>
      </c>
      <c r="C41" t="str">
        <f t="shared" ca="1" si="4"/>
        <v/>
      </c>
      <c r="D41" t="str">
        <f t="shared" ca="1" si="5"/>
        <v/>
      </c>
      <c r="E41" t="str">
        <f t="shared" ca="1" si="6"/>
        <v/>
      </c>
      <c r="G41" t="e">
        <f t="shared" ca="1" si="8"/>
        <v>#N/A</v>
      </c>
      <c r="H41" t="e">
        <f t="shared" ca="1" si="7"/>
        <v>#N/A</v>
      </c>
      <c r="I41" t="e">
        <f t="shared" ca="1" si="9"/>
        <v>#N/A</v>
      </c>
      <c r="J41" t="e">
        <f t="shared" ca="1" si="10"/>
        <v>#N/A</v>
      </c>
      <c r="K41" t="e" cm="1">
        <f t="array" aca="1" ref="K41" ca="1">IF(INDIRECT($C$2&amp;ADDRESS($H$2+$G41-1,$I$2+$J$2+K$6-1))=$B41,K$6,"")</f>
        <v>#N/A</v>
      </c>
      <c r="L41" t="e" cm="1">
        <f t="array" aca="1" ref="L41" ca="1">IF(AND(K41&lt;&gt;"",INDIRECT($C$2&amp;ADDRESS($H$2+$G41-1,$I$2+$J$2+L$6-1))=$B41),L$6,"")</f>
        <v>#N/A</v>
      </c>
      <c r="M41" t="e" cm="1">
        <f t="array" aca="1" ref="M41" ca="1">IF(AND(L41&lt;&gt;"",INDIRECT($C$2&amp;ADDRESS($H$2+$G41-1,$I$2+$J$2+M$6-1))=$B41),M$6,"")</f>
        <v>#N/A</v>
      </c>
      <c r="N41" t="e" cm="1">
        <f t="array" aca="1" ref="N41" ca="1">IF(AND(M41&lt;&gt;"",INDIRECT($C$2&amp;ADDRESS($H$2+$G41-1,$I$2+$J$2+N$6-1))=$B41),N$6,"")</f>
        <v>#N/A</v>
      </c>
      <c r="O41" t="e" cm="1">
        <f t="array" aca="1" ref="O41" ca="1">IF(AND(N41&lt;&gt;"",INDIRECT($C$2&amp;ADDRESS($H$2+$G41-1,$I$2+$J$2+O$6-1))=$B41),O$6,"")</f>
        <v>#N/A</v>
      </c>
      <c r="P41" t="e" cm="1">
        <f t="array" aca="1" ref="P41" ca="1">IF(AND(O41&lt;&gt;"",INDIRECT($C$2&amp;ADDRESS($H$2+$G41-1,$I$2+$J$2+P$6-1))=$B41),P$6,"")</f>
        <v>#N/A</v>
      </c>
    </row>
    <row r="42" spans="1:16">
      <c r="A42">
        <v>36</v>
      </c>
      <c r="B42" t="str">
        <f t="shared" ca="1" si="3"/>
        <v/>
      </c>
      <c r="C42" t="str">
        <f t="shared" ca="1" si="4"/>
        <v/>
      </c>
      <c r="D42" t="str">
        <f t="shared" ca="1" si="5"/>
        <v/>
      </c>
      <c r="E42" t="str">
        <f t="shared" ca="1" si="6"/>
        <v/>
      </c>
      <c r="G42" t="e">
        <f t="shared" ca="1" si="8"/>
        <v>#N/A</v>
      </c>
      <c r="H42" t="e">
        <f t="shared" ca="1" si="7"/>
        <v>#N/A</v>
      </c>
      <c r="I42" t="e">
        <f t="shared" ca="1" si="9"/>
        <v>#N/A</v>
      </c>
      <c r="J42" t="e">
        <f t="shared" ca="1" si="10"/>
        <v>#N/A</v>
      </c>
      <c r="K42" t="e" cm="1">
        <f t="array" aca="1" ref="K42" ca="1">IF(INDIRECT($C$2&amp;ADDRESS($H$2+$G42-1,$I$2+$J$2+K$6-1))=$B42,K$6,"")</f>
        <v>#N/A</v>
      </c>
      <c r="L42" t="e" cm="1">
        <f t="array" aca="1" ref="L42" ca="1">IF(AND(K42&lt;&gt;"",INDIRECT($C$2&amp;ADDRESS($H$2+$G42-1,$I$2+$J$2+L$6-1))=$B42),L$6,"")</f>
        <v>#N/A</v>
      </c>
      <c r="M42" t="e" cm="1">
        <f t="array" aca="1" ref="M42" ca="1">IF(AND(L42&lt;&gt;"",INDIRECT($C$2&amp;ADDRESS($H$2+$G42-1,$I$2+$J$2+M$6-1))=$B42),M$6,"")</f>
        <v>#N/A</v>
      </c>
      <c r="N42" t="e" cm="1">
        <f t="array" aca="1" ref="N42" ca="1">IF(AND(M42&lt;&gt;"",INDIRECT($C$2&amp;ADDRESS($H$2+$G42-1,$I$2+$J$2+N$6-1))=$B42),N$6,"")</f>
        <v>#N/A</v>
      </c>
      <c r="O42" t="e" cm="1">
        <f t="array" aca="1" ref="O42" ca="1">IF(AND(N42&lt;&gt;"",INDIRECT($C$2&amp;ADDRESS($H$2+$G42-1,$I$2+$J$2+O$6-1))=$B42),O$6,"")</f>
        <v>#N/A</v>
      </c>
      <c r="P42" t="e" cm="1">
        <f t="array" aca="1" ref="P42" ca="1">IF(AND(O42&lt;&gt;"",INDIRECT($C$2&amp;ADDRESS($H$2+$G42-1,$I$2+$J$2+P$6-1))=$B42),P$6,"")</f>
        <v>#N/A</v>
      </c>
    </row>
    <row r="43" spans="1:16">
      <c r="A43">
        <v>37</v>
      </c>
      <c r="B43" t="str">
        <f t="shared" ca="1" si="3"/>
        <v/>
      </c>
      <c r="C43" t="str">
        <f t="shared" ca="1" si="4"/>
        <v/>
      </c>
      <c r="D43" t="str">
        <f t="shared" ca="1" si="5"/>
        <v/>
      </c>
      <c r="E43" t="str">
        <f t="shared" ca="1" si="6"/>
        <v/>
      </c>
      <c r="G43" t="e">
        <f t="shared" ca="1" si="8"/>
        <v>#N/A</v>
      </c>
      <c r="H43" t="e">
        <f t="shared" ca="1" si="7"/>
        <v>#N/A</v>
      </c>
      <c r="I43" t="e">
        <f t="shared" ca="1" si="9"/>
        <v>#N/A</v>
      </c>
      <c r="J43" t="e">
        <f t="shared" ca="1" si="10"/>
        <v>#N/A</v>
      </c>
      <c r="K43" t="e" cm="1">
        <f t="array" aca="1" ref="K43" ca="1">IF(INDIRECT($C$2&amp;ADDRESS($H$2+$G43-1,$I$2+$J$2+K$6-1))=$B43,K$6,"")</f>
        <v>#N/A</v>
      </c>
      <c r="L43" t="e" cm="1">
        <f t="array" aca="1" ref="L43" ca="1">IF(AND(K43&lt;&gt;"",INDIRECT($C$2&amp;ADDRESS($H$2+$G43-1,$I$2+$J$2+L$6-1))=$B43),L$6,"")</f>
        <v>#N/A</v>
      </c>
      <c r="M43" t="e" cm="1">
        <f t="array" aca="1" ref="M43" ca="1">IF(AND(L43&lt;&gt;"",INDIRECT($C$2&amp;ADDRESS($H$2+$G43-1,$I$2+$J$2+M$6-1))=$B43),M$6,"")</f>
        <v>#N/A</v>
      </c>
      <c r="N43" t="e" cm="1">
        <f t="array" aca="1" ref="N43" ca="1">IF(AND(M43&lt;&gt;"",INDIRECT($C$2&amp;ADDRESS($H$2+$G43-1,$I$2+$J$2+N$6-1))=$B43),N$6,"")</f>
        <v>#N/A</v>
      </c>
      <c r="O43" t="e" cm="1">
        <f t="array" aca="1" ref="O43" ca="1">IF(AND(N43&lt;&gt;"",INDIRECT($C$2&amp;ADDRESS($H$2+$G43-1,$I$2+$J$2+O$6-1))=$B43),O$6,"")</f>
        <v>#N/A</v>
      </c>
      <c r="P43" t="e" cm="1">
        <f t="array" aca="1" ref="P43" ca="1">IF(AND(O43&lt;&gt;"",INDIRECT($C$2&amp;ADDRESS($H$2+$G43-1,$I$2+$J$2+P$6-1))=$B43),P$6,"")</f>
        <v>#N/A</v>
      </c>
    </row>
    <row r="44" spans="1:16">
      <c r="A44">
        <v>38</v>
      </c>
      <c r="B44" t="str">
        <f t="shared" ca="1" si="3"/>
        <v/>
      </c>
      <c r="C44" t="str">
        <f t="shared" ca="1" si="4"/>
        <v/>
      </c>
      <c r="D44" t="str">
        <f t="shared" ca="1" si="5"/>
        <v/>
      </c>
      <c r="E44" t="str">
        <f t="shared" ca="1" si="6"/>
        <v/>
      </c>
      <c r="G44" t="e">
        <f t="shared" ca="1" si="8"/>
        <v>#N/A</v>
      </c>
      <c r="H44" t="e">
        <f t="shared" ca="1" si="7"/>
        <v>#N/A</v>
      </c>
      <c r="I44" t="e">
        <f t="shared" ca="1" si="9"/>
        <v>#N/A</v>
      </c>
      <c r="J44" t="e">
        <f t="shared" ca="1" si="10"/>
        <v>#N/A</v>
      </c>
      <c r="K44" t="e" cm="1">
        <f t="array" aca="1" ref="K44" ca="1">IF(INDIRECT($C$2&amp;ADDRESS($H$2+$G44-1,$I$2+$J$2+K$6-1))=$B44,K$6,"")</f>
        <v>#N/A</v>
      </c>
      <c r="L44" t="e" cm="1">
        <f t="array" aca="1" ref="L44" ca="1">IF(AND(K44&lt;&gt;"",INDIRECT($C$2&amp;ADDRESS($H$2+$G44-1,$I$2+$J$2+L$6-1))=$B44),L$6,"")</f>
        <v>#N/A</v>
      </c>
      <c r="M44" t="e" cm="1">
        <f t="array" aca="1" ref="M44" ca="1">IF(AND(L44&lt;&gt;"",INDIRECT($C$2&amp;ADDRESS($H$2+$G44-1,$I$2+$J$2+M$6-1))=$B44),M$6,"")</f>
        <v>#N/A</v>
      </c>
      <c r="N44" t="e" cm="1">
        <f t="array" aca="1" ref="N44" ca="1">IF(AND(M44&lt;&gt;"",INDIRECT($C$2&amp;ADDRESS($H$2+$G44-1,$I$2+$J$2+N$6-1))=$B44),N$6,"")</f>
        <v>#N/A</v>
      </c>
      <c r="O44" t="e" cm="1">
        <f t="array" aca="1" ref="O44" ca="1">IF(AND(N44&lt;&gt;"",INDIRECT($C$2&amp;ADDRESS($H$2+$G44-1,$I$2+$J$2+O$6-1))=$B44),O$6,"")</f>
        <v>#N/A</v>
      </c>
      <c r="P44" t="e" cm="1">
        <f t="array" aca="1" ref="P44" ca="1">IF(AND(O44&lt;&gt;"",INDIRECT($C$2&amp;ADDRESS($H$2+$G44-1,$I$2+$J$2+P$6-1))=$B44),P$6,"")</f>
        <v>#N/A</v>
      </c>
    </row>
    <row r="45" spans="1:16">
      <c r="A45">
        <v>39</v>
      </c>
      <c r="B45" t="str">
        <f t="shared" ca="1" si="3"/>
        <v/>
      </c>
      <c r="C45" t="str">
        <f t="shared" ca="1" si="4"/>
        <v/>
      </c>
      <c r="D45" t="str">
        <f t="shared" ca="1" si="5"/>
        <v/>
      </c>
      <c r="E45" t="str">
        <f t="shared" ca="1" si="6"/>
        <v/>
      </c>
      <c r="G45" t="e">
        <f t="shared" ca="1" si="8"/>
        <v>#N/A</v>
      </c>
      <c r="H45" t="e">
        <f t="shared" ca="1" si="7"/>
        <v>#N/A</v>
      </c>
      <c r="I45" t="e">
        <f t="shared" ca="1" si="9"/>
        <v>#N/A</v>
      </c>
      <c r="J45" t="e">
        <f t="shared" ca="1" si="10"/>
        <v>#N/A</v>
      </c>
      <c r="K45" t="e" cm="1">
        <f t="array" aca="1" ref="K45" ca="1">IF(INDIRECT($C$2&amp;ADDRESS($H$2+$G45-1,$I$2+$J$2+K$6-1))=$B45,K$6,"")</f>
        <v>#N/A</v>
      </c>
      <c r="L45" t="e" cm="1">
        <f t="array" aca="1" ref="L45" ca="1">IF(AND(K45&lt;&gt;"",INDIRECT($C$2&amp;ADDRESS($H$2+$G45-1,$I$2+$J$2+L$6-1))=$B45),L$6,"")</f>
        <v>#N/A</v>
      </c>
      <c r="M45" t="e" cm="1">
        <f t="array" aca="1" ref="M45" ca="1">IF(AND(L45&lt;&gt;"",INDIRECT($C$2&amp;ADDRESS($H$2+$G45-1,$I$2+$J$2+M$6-1))=$B45),M$6,"")</f>
        <v>#N/A</v>
      </c>
      <c r="N45" t="e" cm="1">
        <f t="array" aca="1" ref="N45" ca="1">IF(AND(M45&lt;&gt;"",INDIRECT($C$2&amp;ADDRESS($H$2+$G45-1,$I$2+$J$2+N$6-1))=$B45),N$6,"")</f>
        <v>#N/A</v>
      </c>
      <c r="O45" t="e" cm="1">
        <f t="array" aca="1" ref="O45" ca="1">IF(AND(N45&lt;&gt;"",INDIRECT($C$2&amp;ADDRESS($H$2+$G45-1,$I$2+$J$2+O$6-1))=$B45),O$6,"")</f>
        <v>#N/A</v>
      </c>
      <c r="P45" t="e" cm="1">
        <f t="array" aca="1" ref="P45" ca="1">IF(AND(O45&lt;&gt;"",INDIRECT($C$2&amp;ADDRESS($H$2+$G45-1,$I$2+$J$2+P$6-1))=$B45),P$6,"")</f>
        <v>#N/A</v>
      </c>
    </row>
    <row r="46" spans="1:16">
      <c r="A46">
        <v>40</v>
      </c>
      <c r="B46" t="str">
        <f t="shared" ca="1" si="3"/>
        <v/>
      </c>
      <c r="C46" t="str">
        <f t="shared" ca="1" si="4"/>
        <v/>
      </c>
      <c r="D46" t="str">
        <f t="shared" ca="1" si="5"/>
        <v/>
      </c>
      <c r="E46" t="str">
        <f t="shared" ca="1" si="6"/>
        <v/>
      </c>
      <c r="G46" t="e">
        <f t="shared" ca="1" si="8"/>
        <v>#N/A</v>
      </c>
      <c r="H46" t="e">
        <f t="shared" ca="1" si="7"/>
        <v>#N/A</v>
      </c>
      <c r="I46" t="e">
        <f t="shared" ca="1" si="9"/>
        <v>#N/A</v>
      </c>
      <c r="J46" t="e">
        <f t="shared" ca="1" si="10"/>
        <v>#N/A</v>
      </c>
      <c r="K46" t="e" cm="1">
        <f t="array" aca="1" ref="K46" ca="1">IF(INDIRECT($C$2&amp;ADDRESS($H$2+$G46-1,$I$2+$J$2+K$6-1))=$B46,K$6,"")</f>
        <v>#N/A</v>
      </c>
      <c r="L46" t="e" cm="1">
        <f t="array" aca="1" ref="L46" ca="1">IF(AND(K46&lt;&gt;"",INDIRECT($C$2&amp;ADDRESS($H$2+$G46-1,$I$2+$J$2+L$6-1))=$B46),L$6,"")</f>
        <v>#N/A</v>
      </c>
      <c r="M46" t="e" cm="1">
        <f t="array" aca="1" ref="M46" ca="1">IF(AND(L46&lt;&gt;"",INDIRECT($C$2&amp;ADDRESS($H$2+$G46-1,$I$2+$J$2+M$6-1))=$B46),M$6,"")</f>
        <v>#N/A</v>
      </c>
      <c r="N46" t="e" cm="1">
        <f t="array" aca="1" ref="N46" ca="1">IF(AND(M46&lt;&gt;"",INDIRECT($C$2&amp;ADDRESS($H$2+$G46-1,$I$2+$J$2+N$6-1))=$B46),N$6,"")</f>
        <v>#N/A</v>
      </c>
      <c r="O46" t="e" cm="1">
        <f t="array" aca="1" ref="O46" ca="1">IF(AND(N46&lt;&gt;"",INDIRECT($C$2&amp;ADDRESS($H$2+$G46-1,$I$2+$J$2+O$6-1))=$B46),O$6,"")</f>
        <v>#N/A</v>
      </c>
      <c r="P46" t="e" cm="1">
        <f t="array" aca="1" ref="P46" ca="1">IF(AND(O46&lt;&gt;"",INDIRECT($C$2&amp;ADDRESS($H$2+$G46-1,$I$2+$J$2+P$6-1))=$B46),P$6,"")</f>
        <v>#N/A</v>
      </c>
    </row>
    <row r="47" spans="1:16">
      <c r="A47">
        <v>41</v>
      </c>
      <c r="B47" t="str">
        <f t="shared" ca="1" si="3"/>
        <v/>
      </c>
      <c r="C47" t="str">
        <f t="shared" ca="1" si="4"/>
        <v/>
      </c>
      <c r="D47" t="str">
        <f t="shared" ca="1" si="5"/>
        <v/>
      </c>
      <c r="E47" t="str">
        <f t="shared" ca="1" si="6"/>
        <v/>
      </c>
      <c r="G47" t="e">
        <f t="shared" ca="1" si="8"/>
        <v>#N/A</v>
      </c>
      <c r="H47" t="e">
        <f t="shared" ca="1" si="7"/>
        <v>#N/A</v>
      </c>
      <c r="I47" t="e">
        <f t="shared" ca="1" si="9"/>
        <v>#N/A</v>
      </c>
      <c r="J47" t="e">
        <f t="shared" ca="1" si="10"/>
        <v>#N/A</v>
      </c>
      <c r="K47" t="e" cm="1">
        <f t="array" aca="1" ref="K47" ca="1">IF(INDIRECT($C$2&amp;ADDRESS($H$2+$G47-1,$I$2+$J$2+K$6-1))=$B47,K$6,"")</f>
        <v>#N/A</v>
      </c>
      <c r="L47" t="e" cm="1">
        <f t="array" aca="1" ref="L47" ca="1">IF(AND(K47&lt;&gt;"",INDIRECT($C$2&amp;ADDRESS($H$2+$G47-1,$I$2+$J$2+L$6-1))=$B47),L$6,"")</f>
        <v>#N/A</v>
      </c>
      <c r="M47" t="e" cm="1">
        <f t="array" aca="1" ref="M47" ca="1">IF(AND(L47&lt;&gt;"",INDIRECT($C$2&amp;ADDRESS($H$2+$G47-1,$I$2+$J$2+M$6-1))=$B47),M$6,"")</f>
        <v>#N/A</v>
      </c>
      <c r="N47" t="e" cm="1">
        <f t="array" aca="1" ref="N47" ca="1">IF(AND(M47&lt;&gt;"",INDIRECT($C$2&amp;ADDRESS($H$2+$G47-1,$I$2+$J$2+N$6-1))=$B47),N$6,"")</f>
        <v>#N/A</v>
      </c>
      <c r="O47" t="e" cm="1">
        <f t="array" aca="1" ref="O47" ca="1">IF(AND(N47&lt;&gt;"",INDIRECT($C$2&amp;ADDRESS($H$2+$G47-1,$I$2+$J$2+O$6-1))=$B47),O$6,"")</f>
        <v>#N/A</v>
      </c>
      <c r="P47" t="e" cm="1">
        <f t="array" aca="1" ref="P47" ca="1">IF(AND(O47&lt;&gt;"",INDIRECT($C$2&amp;ADDRESS($H$2+$G47-1,$I$2+$J$2+P$6-1))=$B47),P$6,"")</f>
        <v>#N/A</v>
      </c>
    </row>
    <row r="48" spans="1:16">
      <c r="A48">
        <v>42</v>
      </c>
      <c r="B48" t="str">
        <f t="shared" ca="1" si="3"/>
        <v/>
      </c>
      <c r="C48" t="str">
        <f t="shared" ca="1" si="4"/>
        <v/>
      </c>
      <c r="D48" t="str">
        <f t="shared" ca="1" si="5"/>
        <v/>
      </c>
      <c r="E48" t="str">
        <f t="shared" ca="1" si="6"/>
        <v/>
      </c>
      <c r="G48" t="e">
        <f t="shared" ca="1" si="8"/>
        <v>#N/A</v>
      </c>
      <c r="H48" t="e">
        <f t="shared" ca="1" si="7"/>
        <v>#N/A</v>
      </c>
      <c r="I48" t="e">
        <f t="shared" ca="1" si="9"/>
        <v>#N/A</v>
      </c>
      <c r="J48" t="e">
        <f t="shared" ca="1" si="10"/>
        <v>#N/A</v>
      </c>
      <c r="K48" t="e" cm="1">
        <f t="array" aca="1" ref="K48" ca="1">IF(INDIRECT($C$2&amp;ADDRESS($H$2+$G48-1,$I$2+$J$2+K$6-1))=$B48,K$6,"")</f>
        <v>#N/A</v>
      </c>
      <c r="L48" t="e" cm="1">
        <f t="array" aca="1" ref="L48" ca="1">IF(AND(K48&lt;&gt;"",INDIRECT($C$2&amp;ADDRESS($H$2+$G48-1,$I$2+$J$2+L$6-1))=$B48),L$6,"")</f>
        <v>#N/A</v>
      </c>
      <c r="M48" t="e" cm="1">
        <f t="array" aca="1" ref="M48" ca="1">IF(AND(L48&lt;&gt;"",INDIRECT($C$2&amp;ADDRESS($H$2+$G48-1,$I$2+$J$2+M$6-1))=$B48),M$6,"")</f>
        <v>#N/A</v>
      </c>
      <c r="N48" t="e" cm="1">
        <f t="array" aca="1" ref="N48" ca="1">IF(AND(M48&lt;&gt;"",INDIRECT($C$2&amp;ADDRESS($H$2+$G48-1,$I$2+$J$2+N$6-1))=$B48),N$6,"")</f>
        <v>#N/A</v>
      </c>
      <c r="O48" t="e" cm="1">
        <f t="array" aca="1" ref="O48" ca="1">IF(AND(N48&lt;&gt;"",INDIRECT($C$2&amp;ADDRESS($H$2+$G48-1,$I$2+$J$2+O$6-1))=$B48),O$6,"")</f>
        <v>#N/A</v>
      </c>
      <c r="P48" t="e" cm="1">
        <f t="array" aca="1" ref="P48" ca="1">IF(AND(O48&lt;&gt;"",INDIRECT($C$2&amp;ADDRESS($H$2+$G48-1,$I$2+$J$2+P$6-1))=$B48),P$6,"")</f>
        <v>#N/A</v>
      </c>
    </row>
  </sheetData>
  <phoneticPr fontId="1"/>
  <pageMargins left="0.7" right="0.7" top="0.75" bottom="0.75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84" r:id="rId4" name="Button 64">
              <controlPr defaultSize="0" print="0" autoFill="0" autoPict="0" macro="[0]!SetNameRowRanges">
                <anchor moveWithCells="1" sizeWithCells="1">
                  <from>
                    <xdr:col>6</xdr:col>
                    <xdr:colOff>47625</xdr:colOff>
                    <xdr:row>2</xdr:row>
                    <xdr:rowOff>0</xdr:rowOff>
                  </from>
                  <to>
                    <xdr:col>6</xdr:col>
                    <xdr:colOff>704850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BR63"/>
  <sheetViews>
    <sheetView topLeftCell="AP1" zoomScaleNormal="100" workbookViewId="0">
      <selection activeCell="AV2" sqref="AV2"/>
    </sheetView>
  </sheetViews>
  <sheetFormatPr defaultRowHeight="18.75"/>
  <cols>
    <col min="1" max="1" width="11.375" customWidth="1"/>
    <col min="2" max="2" width="11.25" customWidth="1"/>
    <col min="3" max="3" width="4.125" customWidth="1"/>
    <col min="4" max="5" width="11.25" customWidth="1"/>
    <col min="6" max="8" width="5.5" customWidth="1"/>
    <col min="9" max="9" width="4.75" customWidth="1"/>
    <col min="10" max="10" width="5.5" customWidth="1"/>
    <col min="11" max="11" width="10.375" customWidth="1"/>
    <col min="12" max="12" width="5.375" customWidth="1"/>
    <col min="13" max="13" width="9.875" bestFit="1" customWidth="1"/>
    <col min="14" max="14" width="6.125" bestFit="1" customWidth="1"/>
    <col min="15" max="16" width="5.5" bestFit="1" customWidth="1"/>
    <col min="17" max="17" width="5.25" customWidth="1"/>
    <col min="18" max="19" width="11" customWidth="1"/>
    <col min="20" max="20" width="3.25" customWidth="1"/>
    <col min="21" max="21" width="3.625" customWidth="1"/>
    <col min="22" max="31" width="5.25" customWidth="1"/>
    <col min="32" max="33" width="11" customWidth="1"/>
    <col min="34" max="34" width="3.5" customWidth="1"/>
    <col min="35" max="35" width="3.625" customWidth="1"/>
    <col min="36" max="45" width="5.25" customWidth="1"/>
    <col min="46" max="46" width="13" bestFit="1" customWidth="1"/>
    <col min="47" max="47" width="11" bestFit="1" customWidth="1"/>
    <col min="48" max="48" width="7.5" customWidth="1"/>
    <col min="49" max="49" width="11" bestFit="1" customWidth="1"/>
    <col min="50" max="50" width="7.5" customWidth="1"/>
    <col min="51" max="51" width="11" bestFit="1" customWidth="1"/>
    <col min="52" max="52" width="7.5" customWidth="1"/>
    <col min="53" max="53" width="11" bestFit="1" customWidth="1"/>
    <col min="54" max="54" width="7.5" customWidth="1"/>
    <col min="55" max="55" width="11" bestFit="1" customWidth="1"/>
    <col min="56" max="56" width="7.5" customWidth="1"/>
    <col min="57" max="57" width="11" bestFit="1" customWidth="1"/>
    <col min="58" max="58" width="7.5" customWidth="1"/>
    <col min="59" max="59" width="5.5" customWidth="1"/>
    <col min="60" max="60" width="7.375" customWidth="1"/>
    <col min="61" max="61" width="9.25" customWidth="1"/>
    <col min="62" max="62" width="5.5" customWidth="1"/>
    <col min="63" max="63" width="7" customWidth="1"/>
    <col min="64" max="64" width="6.25" customWidth="1"/>
  </cols>
  <sheetData>
    <row r="1" spans="1:70" ht="30"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 t="s">
        <v>71</v>
      </c>
      <c r="AU1" s="13"/>
      <c r="AV1" s="13"/>
      <c r="AW1" s="13"/>
      <c r="AX1" s="13"/>
      <c r="AY1" s="13"/>
      <c r="AZ1" s="13"/>
    </row>
    <row r="2" spans="1:70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 t="str">
        <f ca="1">管理!$C$1</f>
        <v>集計期間 1900年1月0日 ～ 1900年1月0日*</v>
      </c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</row>
    <row r="3" spans="1:70">
      <c r="A3" s="2" t="s">
        <v>67</v>
      </c>
      <c r="B3" s="2" t="s">
        <v>3</v>
      </c>
      <c r="R3" s="3" t="s">
        <v>7</v>
      </c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 t="s">
        <v>6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</row>
    <row r="4" spans="1:70">
      <c r="A4" s="2" t="s">
        <v>5</v>
      </c>
      <c r="B4" t="s">
        <v>202</v>
      </c>
      <c r="Q4" t="s">
        <v>66</v>
      </c>
      <c r="R4" t="str">
        <f t="shared" ref="R4:W4" si="0">B$4</f>
        <v>(空白)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0</v>
      </c>
      <c r="X4">
        <f>H4</f>
        <v>0</v>
      </c>
      <c r="Y4">
        <f>I4</f>
        <v>0</v>
      </c>
      <c r="Z4">
        <f>J4</f>
        <v>0</v>
      </c>
      <c r="AA4">
        <f t="shared" ref="AA4:AC4" si="1">K4</f>
        <v>0</v>
      </c>
      <c r="AB4">
        <f t="shared" si="1"/>
        <v>0</v>
      </c>
      <c r="AC4">
        <f t="shared" si="1"/>
        <v>0</v>
      </c>
      <c r="AD4">
        <f t="shared" ref="AD4" si="2">N4</f>
        <v>0</v>
      </c>
      <c r="AE4">
        <f>O4</f>
        <v>0</v>
      </c>
      <c r="AF4" t="str">
        <f t="shared" ref="AF4:AN4" si="3">B4</f>
        <v>(空白)</v>
      </c>
      <c r="AG4">
        <f t="shared" si="3"/>
        <v>0</v>
      </c>
      <c r="AH4">
        <f t="shared" si="3"/>
        <v>0</v>
      </c>
      <c r="AI4">
        <f t="shared" si="3"/>
        <v>0</v>
      </c>
      <c r="AJ4">
        <f t="shared" si="3"/>
        <v>0</v>
      </c>
      <c r="AK4">
        <f t="shared" si="3"/>
        <v>0</v>
      </c>
      <c r="AL4">
        <f t="shared" si="3"/>
        <v>0</v>
      </c>
      <c r="AM4">
        <f t="shared" si="3"/>
        <v>0</v>
      </c>
      <c r="AN4">
        <f t="shared" si="3"/>
        <v>0</v>
      </c>
      <c r="AO4">
        <f t="shared" ref="AO4:AS4" si="4">K4</f>
        <v>0</v>
      </c>
      <c r="AP4">
        <f t="shared" si="4"/>
        <v>0</v>
      </c>
      <c r="AQ4">
        <f t="shared" si="4"/>
        <v>0</v>
      </c>
      <c r="AR4">
        <f t="shared" si="4"/>
        <v>0</v>
      </c>
      <c r="AS4">
        <f t="shared" si="4"/>
        <v>0</v>
      </c>
      <c r="AT4" s="11"/>
      <c r="AU4" s="33">
        <v>1</v>
      </c>
      <c r="AV4" s="33"/>
      <c r="AW4" s="33">
        <v>2</v>
      </c>
      <c r="AX4" s="33"/>
      <c r="AY4" s="33">
        <v>3</v>
      </c>
      <c r="AZ4" s="33"/>
      <c r="BA4" s="33">
        <v>4</v>
      </c>
      <c r="BB4" s="33"/>
      <c r="BC4" s="33">
        <v>5</v>
      </c>
      <c r="BD4" s="33"/>
      <c r="BE4" s="33">
        <v>6</v>
      </c>
      <c r="BF4" s="33"/>
    </row>
    <row r="5" spans="1:70">
      <c r="A5" s="23" t="s">
        <v>202</v>
      </c>
      <c r="B5">
        <v>0</v>
      </c>
      <c r="Q5">
        <f>SUM(B5:O5)</f>
        <v>0</v>
      </c>
      <c r="R5">
        <f>_xlfn.RANK.EQ(B5,$B5:$O5,0)</f>
        <v>1</v>
      </c>
      <c r="S5">
        <f t="shared" ref="S5:AE5" si="5">_xlfn.RANK.EQ(C5,$B5:$O5,0)</f>
        <v>1</v>
      </c>
      <c r="T5">
        <f t="shared" si="5"/>
        <v>1</v>
      </c>
      <c r="U5">
        <f t="shared" si="5"/>
        <v>1</v>
      </c>
      <c r="V5">
        <f t="shared" si="5"/>
        <v>1</v>
      </c>
      <c r="W5">
        <f t="shared" si="5"/>
        <v>1</v>
      </c>
      <c r="X5">
        <f t="shared" si="5"/>
        <v>1</v>
      </c>
      <c r="Y5">
        <f t="shared" si="5"/>
        <v>1</v>
      </c>
      <c r="Z5">
        <f t="shared" si="5"/>
        <v>1</v>
      </c>
      <c r="AA5">
        <f t="shared" si="5"/>
        <v>1</v>
      </c>
      <c r="AB5">
        <f t="shared" si="5"/>
        <v>1</v>
      </c>
      <c r="AC5">
        <f t="shared" si="5"/>
        <v>1</v>
      </c>
      <c r="AD5">
        <f t="shared" si="5"/>
        <v>1</v>
      </c>
      <c r="AE5">
        <f t="shared" si="5"/>
        <v>1</v>
      </c>
      <c r="AF5" s="12">
        <f>R5+COUNTIF($B5:B5,B5)-1</f>
        <v>1</v>
      </c>
      <c r="AG5" s="12">
        <f>S5+COUNTIF($B5:C5,C5)-1</f>
        <v>1</v>
      </c>
      <c r="AH5" s="12">
        <f>T5+COUNTIF($B5:D5,D5)-1</f>
        <v>1</v>
      </c>
      <c r="AI5" s="12">
        <f>U5+COUNTIF($B5:E5,E5)-1</f>
        <v>1</v>
      </c>
      <c r="AJ5" s="12">
        <f>V5+COUNTIF($B5:F5,F5)-1</f>
        <v>1</v>
      </c>
      <c r="AK5" s="12">
        <f>W5+COUNTIF($B5:G5,G5)-1</f>
        <v>1</v>
      </c>
      <c r="AL5" s="12">
        <f>X5+COUNTIF($B5:H5,H5)-1</f>
        <v>1</v>
      </c>
      <c r="AM5" s="12">
        <f>Y5+COUNTIF($B5:I5,I5)-1</f>
        <v>1</v>
      </c>
      <c r="AN5" s="12">
        <f>Z5+COUNTIF($B5:J5,J5)-1</f>
        <v>1</v>
      </c>
      <c r="AO5" s="12">
        <f>AA5+COUNTIF($B5:K5,K5)-1</f>
        <v>1</v>
      </c>
      <c r="AP5" s="12">
        <f>AB5+COUNTIF($B5:L5,L5)-1</f>
        <v>1</v>
      </c>
      <c r="AQ5" s="12">
        <f>AC5+COUNTIF($B5:M5,M5)-1</f>
        <v>1</v>
      </c>
      <c r="AR5" s="12">
        <f>AD5+COUNTIF($B5:N5,N5)-1</f>
        <v>1</v>
      </c>
      <c r="AS5" s="12">
        <f>AE5+COUNTIF($B5:O5,O5)-1</f>
        <v>1</v>
      </c>
      <c r="AT5" s="14" t="str">
        <f t="shared" ref="AT5:AT36" si="6">A5</f>
        <v>(空白)</v>
      </c>
      <c r="AU5" s="11" t="str">
        <f t="shared" ref="AU5:AU36" si="7">INDEX($AF$4:$AS$4,1,MATCH(SMALL($AF5:$AS5,AU$4),$AF5:$AS5,FALSE))</f>
        <v>(空白)</v>
      </c>
      <c r="AV5" s="15" t="e">
        <f t="shared" ref="AV5:AV36" si="8">INDEX($B5:$O5,1,MATCH(AU5,$B$4:$O$4,FALSE))/$Q5</f>
        <v>#DIV/0!</v>
      </c>
      <c r="AW5" s="11" t="str">
        <f t="shared" ref="AW5:AW36" si="9">INDEX($AF$4:$AS$4,1,MATCH(SMALL($AF5:$AS5,AW$4),$AF5:$AS5,FALSE))</f>
        <v>(空白)</v>
      </c>
      <c r="AX5" s="15" t="e">
        <f t="shared" ref="AX5:AX36" si="10">INDEX($B5:$O5,1,MATCH(AW5,$B$4:$O$4,FALSE))/$Q5</f>
        <v>#DIV/0!</v>
      </c>
      <c r="AY5" s="11" t="str">
        <f t="shared" ref="AY5:AY36" si="11">INDEX($AF$4:$AS$4,1,MATCH(SMALL($AF5:$AS5,AY$4),$AF5:$AS5,FALSE))</f>
        <v>(空白)</v>
      </c>
      <c r="AZ5" s="15" t="e">
        <f t="shared" ref="AZ5:AZ36" si="12">INDEX($B5:$O5,1,MATCH(AY5,$B$4:$O$4,FALSE))/$Q5</f>
        <v>#DIV/0!</v>
      </c>
      <c r="BA5" s="11" t="str">
        <f t="shared" ref="BA5:BA36" si="13">INDEX($AF$4:$AS$4,1,MATCH(SMALL($AF5:$AS5,BA$4),$AF5:$AS5,FALSE))</f>
        <v>(空白)</v>
      </c>
      <c r="BB5" s="15" t="e">
        <f t="shared" ref="BB5:BB36" si="14">INDEX($B5:$O5,1,MATCH(BA5,$B$4:$O$4,FALSE))/$Q5</f>
        <v>#DIV/0!</v>
      </c>
      <c r="BC5" s="11" t="str">
        <f t="shared" ref="BC5:BC36" si="15">INDEX($AF$4:$AS$4,1,MATCH(SMALL($AF5:$AS5,BC$4),$AF5:$AS5,FALSE))</f>
        <v>(空白)</v>
      </c>
      <c r="BD5" s="15" t="e">
        <f t="shared" ref="BD5:BD36" si="16">INDEX($B5:$O5,1,MATCH(BC5,$B$4:$O$4,FALSE))/$Q5</f>
        <v>#DIV/0!</v>
      </c>
      <c r="BE5" s="11" t="str">
        <f t="shared" ref="BE5:BE36" si="17">INDEX($AF$4:$AS$4,1,MATCH(SMALL($AF5:$AS5,BE$4),$AF5:$AS5,FALSE))</f>
        <v>(空白)</v>
      </c>
      <c r="BF5" s="15" t="e">
        <f t="shared" ref="BF5:BF36" si="18">INDEX($B5:$O5,1,MATCH(BE5,$B$4:$O$4,FALSE))/$Q5</f>
        <v>#DIV/0!</v>
      </c>
    </row>
    <row r="6" spans="1:70">
      <c r="Q6">
        <f t="shared" ref="Q6:Q49" si="19">SUM(B6:O6)</f>
        <v>0</v>
      </c>
      <c r="R6" t="e">
        <f t="shared" ref="R6:R48" si="20">_xlfn.RANK.EQ(B6,$B6:$O6,0)</f>
        <v>#N/A</v>
      </c>
      <c r="S6" t="e">
        <f t="shared" ref="S6:S49" si="21">_xlfn.RANK.EQ(C6,$B6:$O6,0)</f>
        <v>#N/A</v>
      </c>
      <c r="T6" t="e">
        <f t="shared" ref="T6:T49" si="22">_xlfn.RANK.EQ(D6,$B6:$O6,0)</f>
        <v>#N/A</v>
      </c>
      <c r="U6" t="e">
        <f t="shared" ref="U6:U49" si="23">_xlfn.RANK.EQ(E6,$B6:$O6,0)</f>
        <v>#N/A</v>
      </c>
      <c r="V6" t="e">
        <f t="shared" ref="V6:V49" si="24">_xlfn.RANK.EQ(F6,$B6:$O6,0)</f>
        <v>#N/A</v>
      </c>
      <c r="W6" t="e">
        <f t="shared" ref="W6:W49" si="25">_xlfn.RANK.EQ(G6,$B6:$O6,0)</f>
        <v>#N/A</v>
      </c>
      <c r="X6" t="e">
        <f t="shared" ref="X6:X49" si="26">_xlfn.RANK.EQ(H6,$B6:$O6,0)</f>
        <v>#N/A</v>
      </c>
      <c r="Y6" t="e">
        <f t="shared" ref="Y6:Y49" si="27">_xlfn.RANK.EQ(I6,$B6:$O6,0)</f>
        <v>#N/A</v>
      </c>
      <c r="Z6" t="e">
        <f t="shared" ref="Z6:Z49" si="28">_xlfn.RANK.EQ(J6,$B6:$O6,0)</f>
        <v>#N/A</v>
      </c>
      <c r="AA6" t="e">
        <f t="shared" ref="AA6:AA49" si="29">_xlfn.RANK.EQ(K6,$B6:$O6,0)</f>
        <v>#N/A</v>
      </c>
      <c r="AB6" t="e">
        <f t="shared" ref="AB6:AB49" si="30">_xlfn.RANK.EQ(L6,$B6:$O6,0)</f>
        <v>#N/A</v>
      </c>
      <c r="AC6" t="e">
        <f t="shared" ref="AC6:AC49" si="31">_xlfn.RANK.EQ(M6,$B6:$O6,0)</f>
        <v>#N/A</v>
      </c>
      <c r="AD6" t="e">
        <f t="shared" ref="AD6:AD49" si="32">_xlfn.RANK.EQ(N6,$B6:$O6,0)</f>
        <v>#N/A</v>
      </c>
      <c r="AE6" t="e">
        <f t="shared" ref="AE6:AE49" si="33">_xlfn.RANK.EQ(O6,$B6:$O6,0)</f>
        <v>#N/A</v>
      </c>
      <c r="AF6" s="12" t="e">
        <f>R6+COUNTIF($B6:B6,B6)-1</f>
        <v>#N/A</v>
      </c>
      <c r="AG6" s="12" t="e">
        <f>S6+COUNTIF($B6:C6,C6)-1</f>
        <v>#N/A</v>
      </c>
      <c r="AH6" s="12" t="e">
        <f>T6+COUNTIF($B6:D6,D6)-1</f>
        <v>#N/A</v>
      </c>
      <c r="AI6" s="12" t="e">
        <f>U6+COUNTIF($B6:E6,E6)-1</f>
        <v>#N/A</v>
      </c>
      <c r="AJ6" s="12" t="e">
        <f>V6+COUNTIF($B6:F6,F6)-1</f>
        <v>#N/A</v>
      </c>
      <c r="AK6" s="12" t="e">
        <f>W6+COUNTIF($B6:G6,G6)-1</f>
        <v>#N/A</v>
      </c>
      <c r="AL6" s="12" t="e">
        <f>X6+COUNTIF($B6:H6,H6)-1</f>
        <v>#N/A</v>
      </c>
      <c r="AM6" s="12" t="e">
        <f>Y6+COUNTIF($B6:I6,I6)-1</f>
        <v>#N/A</v>
      </c>
      <c r="AN6" s="12" t="e">
        <f>Z6+COUNTIF($B6:J6,J6)-1</f>
        <v>#N/A</v>
      </c>
      <c r="AO6" s="12" t="e">
        <f>AA6+COUNTIF($B6:K6,K6)-1</f>
        <v>#N/A</v>
      </c>
      <c r="AP6" s="12" t="e">
        <f>AB6+COUNTIF($B6:L6,L6)-1</f>
        <v>#N/A</v>
      </c>
      <c r="AQ6" s="12" t="e">
        <f>AC6+COUNTIF($B6:M6,M6)-1</f>
        <v>#N/A</v>
      </c>
      <c r="AR6" s="12" t="e">
        <f>AD6+COUNTIF($B6:N6,N6)-1</f>
        <v>#N/A</v>
      </c>
      <c r="AS6" s="12" t="e">
        <f>AE6+COUNTIF($B6:O6,O6)-1</f>
        <v>#N/A</v>
      </c>
      <c r="AT6" s="14">
        <f t="shared" si="6"/>
        <v>0</v>
      </c>
      <c r="AU6" s="11" t="e">
        <f t="shared" si="7"/>
        <v>#N/A</v>
      </c>
      <c r="AV6" s="15" t="e">
        <f t="shared" si="8"/>
        <v>#N/A</v>
      </c>
      <c r="AW6" s="11" t="e">
        <f t="shared" si="9"/>
        <v>#N/A</v>
      </c>
      <c r="AX6" s="15" t="e">
        <f t="shared" si="10"/>
        <v>#N/A</v>
      </c>
      <c r="AY6" s="11" t="e">
        <f t="shared" si="11"/>
        <v>#N/A</v>
      </c>
      <c r="AZ6" s="15" t="e">
        <f t="shared" si="12"/>
        <v>#N/A</v>
      </c>
      <c r="BA6" s="11" t="e">
        <f t="shared" si="13"/>
        <v>#N/A</v>
      </c>
      <c r="BB6" s="15" t="e">
        <f t="shared" si="14"/>
        <v>#N/A</v>
      </c>
      <c r="BC6" s="11" t="e">
        <f t="shared" si="15"/>
        <v>#N/A</v>
      </c>
      <c r="BD6" s="15" t="e">
        <f t="shared" si="16"/>
        <v>#N/A</v>
      </c>
      <c r="BE6" s="11" t="e">
        <f t="shared" si="17"/>
        <v>#N/A</v>
      </c>
      <c r="BF6" s="15" t="e">
        <f t="shared" si="18"/>
        <v>#N/A</v>
      </c>
    </row>
    <row r="7" spans="1:70">
      <c r="Q7">
        <f t="shared" si="19"/>
        <v>0</v>
      </c>
      <c r="R7" t="e">
        <f t="shared" si="20"/>
        <v>#N/A</v>
      </c>
      <c r="S7" t="e">
        <f t="shared" si="21"/>
        <v>#N/A</v>
      </c>
      <c r="T7" t="e">
        <f t="shared" si="22"/>
        <v>#N/A</v>
      </c>
      <c r="U7" t="e">
        <f t="shared" si="23"/>
        <v>#N/A</v>
      </c>
      <c r="V7" t="e">
        <f t="shared" si="24"/>
        <v>#N/A</v>
      </c>
      <c r="W7" t="e">
        <f t="shared" si="25"/>
        <v>#N/A</v>
      </c>
      <c r="X7" t="e">
        <f t="shared" si="26"/>
        <v>#N/A</v>
      </c>
      <c r="Y7" t="e">
        <f t="shared" si="27"/>
        <v>#N/A</v>
      </c>
      <c r="Z7" t="e">
        <f t="shared" si="28"/>
        <v>#N/A</v>
      </c>
      <c r="AA7" t="e">
        <f t="shared" si="29"/>
        <v>#N/A</v>
      </c>
      <c r="AB7" t="e">
        <f t="shared" si="30"/>
        <v>#N/A</v>
      </c>
      <c r="AC7" t="e">
        <f t="shared" si="31"/>
        <v>#N/A</v>
      </c>
      <c r="AD7" t="e">
        <f t="shared" si="32"/>
        <v>#N/A</v>
      </c>
      <c r="AE7" t="e">
        <f t="shared" si="33"/>
        <v>#N/A</v>
      </c>
      <c r="AF7" s="12" t="e">
        <f>R7+COUNTIF($B7:B7,B7)-1</f>
        <v>#N/A</v>
      </c>
      <c r="AG7" s="12" t="e">
        <f>S7+COUNTIF($B7:C7,C7)-1</f>
        <v>#N/A</v>
      </c>
      <c r="AH7" s="12" t="e">
        <f>T7+COUNTIF($B7:D7,D7)-1</f>
        <v>#N/A</v>
      </c>
      <c r="AI7" s="12" t="e">
        <f>U7+COUNTIF($B7:E7,E7)-1</f>
        <v>#N/A</v>
      </c>
      <c r="AJ7" s="12" t="e">
        <f>V7+COUNTIF($B7:F7,F7)-1</f>
        <v>#N/A</v>
      </c>
      <c r="AK7" s="12" t="e">
        <f>W7+COUNTIF($B7:G7,G7)-1</f>
        <v>#N/A</v>
      </c>
      <c r="AL7" s="12" t="e">
        <f>X7+COUNTIF($B7:H7,H7)-1</f>
        <v>#N/A</v>
      </c>
      <c r="AM7" s="12" t="e">
        <f>Y7+COUNTIF($B7:I7,I7)-1</f>
        <v>#N/A</v>
      </c>
      <c r="AN7" s="12" t="e">
        <f>Z7+COUNTIF($B7:J7,J7)-1</f>
        <v>#N/A</v>
      </c>
      <c r="AO7" s="12" t="e">
        <f>AA7+COUNTIF($B7:K7,K7)-1</f>
        <v>#N/A</v>
      </c>
      <c r="AP7" s="12" t="e">
        <f>AB7+COUNTIF($B7:L7,L7)-1</f>
        <v>#N/A</v>
      </c>
      <c r="AQ7" s="12" t="e">
        <f>AC7+COUNTIF($B7:M7,M7)-1</f>
        <v>#N/A</v>
      </c>
      <c r="AR7" s="12" t="e">
        <f>AD7+COUNTIF($B7:N7,N7)-1</f>
        <v>#N/A</v>
      </c>
      <c r="AS7" s="12" t="e">
        <f>AE7+COUNTIF($B7:O7,O7)-1</f>
        <v>#N/A</v>
      </c>
      <c r="AT7" s="14">
        <f t="shared" si="6"/>
        <v>0</v>
      </c>
      <c r="AU7" s="11" t="e">
        <f t="shared" si="7"/>
        <v>#N/A</v>
      </c>
      <c r="AV7" s="15" t="e">
        <f t="shared" si="8"/>
        <v>#N/A</v>
      </c>
      <c r="AW7" s="11" t="e">
        <f t="shared" si="9"/>
        <v>#N/A</v>
      </c>
      <c r="AX7" s="15" t="e">
        <f t="shared" si="10"/>
        <v>#N/A</v>
      </c>
      <c r="AY7" s="11" t="e">
        <f t="shared" si="11"/>
        <v>#N/A</v>
      </c>
      <c r="AZ7" s="15" t="e">
        <f t="shared" si="12"/>
        <v>#N/A</v>
      </c>
      <c r="BA7" s="11" t="e">
        <f t="shared" si="13"/>
        <v>#N/A</v>
      </c>
      <c r="BB7" s="15" t="e">
        <f t="shared" si="14"/>
        <v>#N/A</v>
      </c>
      <c r="BC7" s="11" t="e">
        <f t="shared" si="15"/>
        <v>#N/A</v>
      </c>
      <c r="BD7" s="15" t="e">
        <f t="shared" si="16"/>
        <v>#N/A</v>
      </c>
      <c r="BE7" s="11" t="e">
        <f t="shared" si="17"/>
        <v>#N/A</v>
      </c>
      <c r="BF7" s="15" t="e">
        <f t="shared" si="18"/>
        <v>#N/A</v>
      </c>
    </row>
    <row r="8" spans="1:70">
      <c r="Q8">
        <f t="shared" si="19"/>
        <v>0</v>
      </c>
      <c r="R8" t="e">
        <f t="shared" si="20"/>
        <v>#N/A</v>
      </c>
      <c r="S8" t="e">
        <f t="shared" si="21"/>
        <v>#N/A</v>
      </c>
      <c r="T8" t="e">
        <f t="shared" si="22"/>
        <v>#N/A</v>
      </c>
      <c r="U8" t="e">
        <f t="shared" si="23"/>
        <v>#N/A</v>
      </c>
      <c r="V8" t="e">
        <f t="shared" si="24"/>
        <v>#N/A</v>
      </c>
      <c r="W8" t="e">
        <f t="shared" si="25"/>
        <v>#N/A</v>
      </c>
      <c r="X8" t="e">
        <f t="shared" si="26"/>
        <v>#N/A</v>
      </c>
      <c r="Y8" t="e">
        <f t="shared" si="27"/>
        <v>#N/A</v>
      </c>
      <c r="Z8" t="e">
        <f t="shared" si="28"/>
        <v>#N/A</v>
      </c>
      <c r="AA8" t="e">
        <f t="shared" si="29"/>
        <v>#N/A</v>
      </c>
      <c r="AB8" t="e">
        <f t="shared" si="30"/>
        <v>#N/A</v>
      </c>
      <c r="AC8" t="e">
        <f t="shared" si="31"/>
        <v>#N/A</v>
      </c>
      <c r="AD8" t="e">
        <f t="shared" si="32"/>
        <v>#N/A</v>
      </c>
      <c r="AE8" t="e">
        <f t="shared" si="33"/>
        <v>#N/A</v>
      </c>
      <c r="AF8" s="12" t="e">
        <f>R8+COUNTIF($B8:B8,B8)-1</f>
        <v>#N/A</v>
      </c>
      <c r="AG8" s="12" t="e">
        <f>S8+COUNTIF($B8:C8,C8)-1</f>
        <v>#N/A</v>
      </c>
      <c r="AH8" s="12" t="e">
        <f>T8+COUNTIF($B8:D8,D8)-1</f>
        <v>#N/A</v>
      </c>
      <c r="AI8" s="12" t="e">
        <f>U8+COUNTIF($B8:E8,E8)-1</f>
        <v>#N/A</v>
      </c>
      <c r="AJ8" s="12" t="e">
        <f>V8+COUNTIF($B8:F8,F8)-1</f>
        <v>#N/A</v>
      </c>
      <c r="AK8" s="12" t="e">
        <f>W8+COUNTIF($B8:G8,G8)-1</f>
        <v>#N/A</v>
      </c>
      <c r="AL8" s="12" t="e">
        <f>X8+COUNTIF($B8:H8,H8)-1</f>
        <v>#N/A</v>
      </c>
      <c r="AM8" s="12" t="e">
        <f>Y8+COUNTIF($B8:I8,I8)-1</f>
        <v>#N/A</v>
      </c>
      <c r="AN8" s="12" t="e">
        <f>Z8+COUNTIF($B8:J8,J8)-1</f>
        <v>#N/A</v>
      </c>
      <c r="AO8" s="12" t="e">
        <f>AA8+COUNTIF($B8:K8,K8)-1</f>
        <v>#N/A</v>
      </c>
      <c r="AP8" s="12" t="e">
        <f>AB8+COUNTIF($B8:L8,L8)-1</f>
        <v>#N/A</v>
      </c>
      <c r="AQ8" s="12" t="e">
        <f>AC8+COUNTIF($B8:M8,M8)-1</f>
        <v>#N/A</v>
      </c>
      <c r="AR8" s="12" t="e">
        <f>AD8+COUNTIF($B8:N8,N8)-1</f>
        <v>#N/A</v>
      </c>
      <c r="AS8" s="12" t="e">
        <f>AE8+COUNTIF($B8:O8,O8)-1</f>
        <v>#N/A</v>
      </c>
      <c r="AT8" s="14">
        <f t="shared" si="6"/>
        <v>0</v>
      </c>
      <c r="AU8" s="11" t="e">
        <f t="shared" si="7"/>
        <v>#N/A</v>
      </c>
      <c r="AV8" s="15" t="e">
        <f t="shared" si="8"/>
        <v>#N/A</v>
      </c>
      <c r="AW8" s="11" t="e">
        <f t="shared" si="9"/>
        <v>#N/A</v>
      </c>
      <c r="AX8" s="15" t="e">
        <f t="shared" si="10"/>
        <v>#N/A</v>
      </c>
      <c r="AY8" s="11" t="e">
        <f t="shared" si="11"/>
        <v>#N/A</v>
      </c>
      <c r="AZ8" s="15" t="e">
        <f t="shared" si="12"/>
        <v>#N/A</v>
      </c>
      <c r="BA8" s="11" t="e">
        <f t="shared" si="13"/>
        <v>#N/A</v>
      </c>
      <c r="BB8" s="15" t="e">
        <f t="shared" si="14"/>
        <v>#N/A</v>
      </c>
      <c r="BC8" s="11" t="e">
        <f t="shared" si="15"/>
        <v>#N/A</v>
      </c>
      <c r="BD8" s="15" t="e">
        <f t="shared" si="16"/>
        <v>#N/A</v>
      </c>
      <c r="BE8" s="11" t="e">
        <f t="shared" si="17"/>
        <v>#N/A</v>
      </c>
      <c r="BF8" s="15" t="e">
        <f t="shared" si="18"/>
        <v>#N/A</v>
      </c>
    </row>
    <row r="9" spans="1:70">
      <c r="Q9">
        <f t="shared" si="19"/>
        <v>0</v>
      </c>
      <c r="R9" t="e">
        <f t="shared" si="20"/>
        <v>#N/A</v>
      </c>
      <c r="S9" t="e">
        <f t="shared" si="21"/>
        <v>#N/A</v>
      </c>
      <c r="T9" t="e">
        <f t="shared" si="22"/>
        <v>#N/A</v>
      </c>
      <c r="U9" t="e">
        <f t="shared" si="23"/>
        <v>#N/A</v>
      </c>
      <c r="V9" t="e">
        <f t="shared" si="24"/>
        <v>#N/A</v>
      </c>
      <c r="W9" t="e">
        <f t="shared" si="25"/>
        <v>#N/A</v>
      </c>
      <c r="X9" t="e">
        <f t="shared" si="26"/>
        <v>#N/A</v>
      </c>
      <c r="Y9" t="e">
        <f t="shared" si="27"/>
        <v>#N/A</v>
      </c>
      <c r="Z9" t="e">
        <f t="shared" si="28"/>
        <v>#N/A</v>
      </c>
      <c r="AA9" t="e">
        <f t="shared" si="29"/>
        <v>#N/A</v>
      </c>
      <c r="AB9" t="e">
        <f t="shared" si="30"/>
        <v>#N/A</v>
      </c>
      <c r="AC9" t="e">
        <f t="shared" si="31"/>
        <v>#N/A</v>
      </c>
      <c r="AD9" t="e">
        <f t="shared" si="32"/>
        <v>#N/A</v>
      </c>
      <c r="AE9" t="e">
        <f t="shared" si="33"/>
        <v>#N/A</v>
      </c>
      <c r="AF9" s="12" t="e">
        <f>R9+COUNTIF($B9:B9,B9)-1</f>
        <v>#N/A</v>
      </c>
      <c r="AG9" s="12" t="e">
        <f>S9+COUNTIF($B9:C9,C9)-1</f>
        <v>#N/A</v>
      </c>
      <c r="AH9" s="12" t="e">
        <f>T9+COUNTIF($B9:D9,D9)-1</f>
        <v>#N/A</v>
      </c>
      <c r="AI9" s="12" t="e">
        <f>U9+COUNTIF($B9:E9,E9)-1</f>
        <v>#N/A</v>
      </c>
      <c r="AJ9" s="12" t="e">
        <f>V9+COUNTIF($B9:F9,F9)-1</f>
        <v>#N/A</v>
      </c>
      <c r="AK9" s="12" t="e">
        <f>W9+COUNTIF($B9:G9,G9)-1</f>
        <v>#N/A</v>
      </c>
      <c r="AL9" s="12" t="e">
        <f>X9+COUNTIF($B9:H9,H9)-1</f>
        <v>#N/A</v>
      </c>
      <c r="AM9" s="12" t="e">
        <f>Y9+COUNTIF($B9:I9,I9)-1</f>
        <v>#N/A</v>
      </c>
      <c r="AN9" s="12" t="e">
        <f>Z9+COUNTIF($B9:J9,J9)-1</f>
        <v>#N/A</v>
      </c>
      <c r="AO9" s="12" t="e">
        <f>AA9+COUNTIF($B9:K9,K9)-1</f>
        <v>#N/A</v>
      </c>
      <c r="AP9" s="12" t="e">
        <f>AB9+COUNTIF($B9:L9,L9)-1</f>
        <v>#N/A</v>
      </c>
      <c r="AQ9" s="12" t="e">
        <f>AC9+COUNTIF($B9:M9,M9)-1</f>
        <v>#N/A</v>
      </c>
      <c r="AR9" s="12" t="e">
        <f>AD9+COUNTIF($B9:N9,N9)-1</f>
        <v>#N/A</v>
      </c>
      <c r="AS9" s="12" t="e">
        <f>AE9+COUNTIF($B9:O9,O9)-1</f>
        <v>#N/A</v>
      </c>
      <c r="AT9" s="14">
        <f t="shared" si="6"/>
        <v>0</v>
      </c>
      <c r="AU9" s="11" t="e">
        <f t="shared" si="7"/>
        <v>#N/A</v>
      </c>
      <c r="AV9" s="15" t="e">
        <f t="shared" si="8"/>
        <v>#N/A</v>
      </c>
      <c r="AW9" s="11" t="e">
        <f t="shared" si="9"/>
        <v>#N/A</v>
      </c>
      <c r="AX9" s="15" t="e">
        <f t="shared" si="10"/>
        <v>#N/A</v>
      </c>
      <c r="AY9" s="11" t="e">
        <f t="shared" si="11"/>
        <v>#N/A</v>
      </c>
      <c r="AZ9" s="15" t="e">
        <f t="shared" si="12"/>
        <v>#N/A</v>
      </c>
      <c r="BA9" s="11" t="e">
        <f t="shared" si="13"/>
        <v>#N/A</v>
      </c>
      <c r="BB9" s="15" t="e">
        <f t="shared" si="14"/>
        <v>#N/A</v>
      </c>
      <c r="BC9" s="11" t="e">
        <f t="shared" si="15"/>
        <v>#N/A</v>
      </c>
      <c r="BD9" s="15" t="e">
        <f t="shared" si="16"/>
        <v>#N/A</v>
      </c>
      <c r="BE9" s="11" t="e">
        <f t="shared" si="17"/>
        <v>#N/A</v>
      </c>
      <c r="BF9" s="15" t="e">
        <f t="shared" si="18"/>
        <v>#N/A</v>
      </c>
    </row>
    <row r="10" spans="1:70">
      <c r="Q10">
        <f t="shared" si="19"/>
        <v>0</v>
      </c>
      <c r="R10" t="e">
        <f t="shared" si="20"/>
        <v>#N/A</v>
      </c>
      <c r="S10" t="e">
        <f t="shared" si="21"/>
        <v>#N/A</v>
      </c>
      <c r="T10" t="e">
        <f t="shared" si="22"/>
        <v>#N/A</v>
      </c>
      <c r="U10" t="e">
        <f t="shared" si="23"/>
        <v>#N/A</v>
      </c>
      <c r="V10" t="e">
        <f t="shared" si="24"/>
        <v>#N/A</v>
      </c>
      <c r="W10" t="e">
        <f t="shared" si="25"/>
        <v>#N/A</v>
      </c>
      <c r="X10" t="e">
        <f t="shared" si="26"/>
        <v>#N/A</v>
      </c>
      <c r="Y10" t="e">
        <f t="shared" si="27"/>
        <v>#N/A</v>
      </c>
      <c r="Z10" t="e">
        <f t="shared" si="28"/>
        <v>#N/A</v>
      </c>
      <c r="AA10" t="e">
        <f t="shared" si="29"/>
        <v>#N/A</v>
      </c>
      <c r="AB10" t="e">
        <f t="shared" si="30"/>
        <v>#N/A</v>
      </c>
      <c r="AC10" t="e">
        <f t="shared" si="31"/>
        <v>#N/A</v>
      </c>
      <c r="AD10" t="e">
        <f t="shared" si="32"/>
        <v>#N/A</v>
      </c>
      <c r="AE10" t="e">
        <f t="shared" si="33"/>
        <v>#N/A</v>
      </c>
      <c r="AF10" s="12" t="e">
        <f>R10+COUNTIF($B10:B10,B10)-1</f>
        <v>#N/A</v>
      </c>
      <c r="AG10" s="12" t="e">
        <f>S10+COUNTIF($B10:C10,C10)-1</f>
        <v>#N/A</v>
      </c>
      <c r="AH10" s="12" t="e">
        <f>T10+COUNTIF($B10:D10,D10)-1</f>
        <v>#N/A</v>
      </c>
      <c r="AI10" s="12" t="e">
        <f>U10+COUNTIF($B10:E10,E10)-1</f>
        <v>#N/A</v>
      </c>
      <c r="AJ10" s="12" t="e">
        <f>V10+COUNTIF($B10:F10,F10)-1</f>
        <v>#N/A</v>
      </c>
      <c r="AK10" s="12" t="e">
        <f>W10+COUNTIF($B10:G10,G10)-1</f>
        <v>#N/A</v>
      </c>
      <c r="AL10" s="12" t="e">
        <f>X10+COUNTIF($B10:H10,H10)-1</f>
        <v>#N/A</v>
      </c>
      <c r="AM10" s="12" t="e">
        <f>Y10+COUNTIF($B10:I10,I10)-1</f>
        <v>#N/A</v>
      </c>
      <c r="AN10" s="12" t="e">
        <f>Z10+COUNTIF($B10:J10,J10)-1</f>
        <v>#N/A</v>
      </c>
      <c r="AO10" s="12" t="e">
        <f>AA10+COUNTIF($B10:K10,K10)-1</f>
        <v>#N/A</v>
      </c>
      <c r="AP10" s="12" t="e">
        <f>AB10+COUNTIF($B10:L10,L10)-1</f>
        <v>#N/A</v>
      </c>
      <c r="AQ10" s="12" t="e">
        <f>AC10+COUNTIF($B10:M10,M10)-1</f>
        <v>#N/A</v>
      </c>
      <c r="AR10" s="12" t="e">
        <f>AD10+COUNTIF($B10:N10,N10)-1</f>
        <v>#N/A</v>
      </c>
      <c r="AS10" s="12" t="e">
        <f>AE10+COUNTIF($B10:O10,O10)-1</f>
        <v>#N/A</v>
      </c>
      <c r="AT10" s="14">
        <f t="shared" si="6"/>
        <v>0</v>
      </c>
      <c r="AU10" s="11" t="e">
        <f t="shared" si="7"/>
        <v>#N/A</v>
      </c>
      <c r="AV10" s="15" t="e">
        <f t="shared" si="8"/>
        <v>#N/A</v>
      </c>
      <c r="AW10" s="11" t="e">
        <f t="shared" si="9"/>
        <v>#N/A</v>
      </c>
      <c r="AX10" s="15" t="e">
        <f t="shared" si="10"/>
        <v>#N/A</v>
      </c>
      <c r="AY10" s="11" t="e">
        <f t="shared" si="11"/>
        <v>#N/A</v>
      </c>
      <c r="AZ10" s="15" t="e">
        <f t="shared" si="12"/>
        <v>#N/A</v>
      </c>
      <c r="BA10" s="11" t="e">
        <f t="shared" si="13"/>
        <v>#N/A</v>
      </c>
      <c r="BB10" s="15" t="e">
        <f t="shared" si="14"/>
        <v>#N/A</v>
      </c>
      <c r="BC10" s="11" t="e">
        <f t="shared" si="15"/>
        <v>#N/A</v>
      </c>
      <c r="BD10" s="15" t="e">
        <f t="shared" si="16"/>
        <v>#N/A</v>
      </c>
      <c r="BE10" s="11" t="e">
        <f t="shared" si="17"/>
        <v>#N/A</v>
      </c>
      <c r="BF10" s="15" t="e">
        <f t="shared" si="18"/>
        <v>#N/A</v>
      </c>
    </row>
    <row r="11" spans="1:70">
      <c r="Q11">
        <f t="shared" si="19"/>
        <v>0</v>
      </c>
      <c r="R11" t="e">
        <f t="shared" si="20"/>
        <v>#N/A</v>
      </c>
      <c r="S11" t="e">
        <f t="shared" si="21"/>
        <v>#N/A</v>
      </c>
      <c r="T11" t="e">
        <f t="shared" si="22"/>
        <v>#N/A</v>
      </c>
      <c r="U11" t="e">
        <f t="shared" si="23"/>
        <v>#N/A</v>
      </c>
      <c r="V11" t="e">
        <f t="shared" si="24"/>
        <v>#N/A</v>
      </c>
      <c r="W11" t="e">
        <f t="shared" si="25"/>
        <v>#N/A</v>
      </c>
      <c r="X11" t="e">
        <f t="shared" si="26"/>
        <v>#N/A</v>
      </c>
      <c r="Y11" t="e">
        <f t="shared" si="27"/>
        <v>#N/A</v>
      </c>
      <c r="Z11" t="e">
        <f t="shared" si="28"/>
        <v>#N/A</v>
      </c>
      <c r="AA11" t="e">
        <f t="shared" si="29"/>
        <v>#N/A</v>
      </c>
      <c r="AB11" t="e">
        <f t="shared" si="30"/>
        <v>#N/A</v>
      </c>
      <c r="AC11" t="e">
        <f t="shared" si="31"/>
        <v>#N/A</v>
      </c>
      <c r="AD11" t="e">
        <f t="shared" si="32"/>
        <v>#N/A</v>
      </c>
      <c r="AE11" t="e">
        <f t="shared" si="33"/>
        <v>#N/A</v>
      </c>
      <c r="AF11" s="12" t="e">
        <f>R11+COUNTIF($B11:B11,B11)-1</f>
        <v>#N/A</v>
      </c>
      <c r="AG11" s="12" t="e">
        <f>S11+COUNTIF($B11:C11,C11)-1</f>
        <v>#N/A</v>
      </c>
      <c r="AH11" s="12" t="e">
        <f>T11+COUNTIF($B11:D11,D11)-1</f>
        <v>#N/A</v>
      </c>
      <c r="AI11" s="12" t="e">
        <f>U11+COUNTIF($B11:E11,E11)-1</f>
        <v>#N/A</v>
      </c>
      <c r="AJ11" s="12" t="e">
        <f>V11+COUNTIF($B11:F11,F11)-1</f>
        <v>#N/A</v>
      </c>
      <c r="AK11" s="12" t="e">
        <f>W11+COUNTIF($B11:G11,G11)-1</f>
        <v>#N/A</v>
      </c>
      <c r="AL11" s="12" t="e">
        <f>X11+COUNTIF($B11:H11,H11)-1</f>
        <v>#N/A</v>
      </c>
      <c r="AM11" s="12" t="e">
        <f>Y11+COUNTIF($B11:I11,I11)-1</f>
        <v>#N/A</v>
      </c>
      <c r="AN11" s="12" t="e">
        <f>Z11+COUNTIF($B11:J11,J11)-1</f>
        <v>#N/A</v>
      </c>
      <c r="AO11" s="12" t="e">
        <f>AA11+COUNTIF($B11:K11,K11)-1</f>
        <v>#N/A</v>
      </c>
      <c r="AP11" s="12" t="e">
        <f>AB11+COUNTIF($B11:L11,L11)-1</f>
        <v>#N/A</v>
      </c>
      <c r="AQ11" s="12" t="e">
        <f>AC11+COUNTIF($B11:M11,M11)-1</f>
        <v>#N/A</v>
      </c>
      <c r="AR11" s="12" t="e">
        <f>AD11+COUNTIF($B11:N11,N11)-1</f>
        <v>#N/A</v>
      </c>
      <c r="AS11" s="12" t="e">
        <f>AE11+COUNTIF($B11:O11,O11)-1</f>
        <v>#N/A</v>
      </c>
      <c r="AT11" s="14">
        <f t="shared" si="6"/>
        <v>0</v>
      </c>
      <c r="AU11" s="11" t="e">
        <f t="shared" si="7"/>
        <v>#N/A</v>
      </c>
      <c r="AV11" s="15" t="e">
        <f t="shared" si="8"/>
        <v>#N/A</v>
      </c>
      <c r="AW11" s="11" t="e">
        <f t="shared" si="9"/>
        <v>#N/A</v>
      </c>
      <c r="AX11" s="15" t="e">
        <f t="shared" si="10"/>
        <v>#N/A</v>
      </c>
      <c r="AY11" s="11" t="e">
        <f t="shared" si="11"/>
        <v>#N/A</v>
      </c>
      <c r="AZ11" s="15" t="e">
        <f t="shared" si="12"/>
        <v>#N/A</v>
      </c>
      <c r="BA11" s="11" t="e">
        <f t="shared" si="13"/>
        <v>#N/A</v>
      </c>
      <c r="BB11" s="15" t="e">
        <f t="shared" si="14"/>
        <v>#N/A</v>
      </c>
      <c r="BC11" s="11" t="e">
        <f t="shared" si="15"/>
        <v>#N/A</v>
      </c>
      <c r="BD11" s="15" t="e">
        <f t="shared" si="16"/>
        <v>#N/A</v>
      </c>
      <c r="BE11" s="11" t="e">
        <f t="shared" si="17"/>
        <v>#N/A</v>
      </c>
      <c r="BF11" s="15" t="e">
        <f t="shared" si="18"/>
        <v>#N/A</v>
      </c>
    </row>
    <row r="12" spans="1:70">
      <c r="Q12">
        <f t="shared" si="19"/>
        <v>0</v>
      </c>
      <c r="R12" t="e">
        <f t="shared" si="20"/>
        <v>#N/A</v>
      </c>
      <c r="S12" t="e">
        <f t="shared" si="21"/>
        <v>#N/A</v>
      </c>
      <c r="T12" t="e">
        <f t="shared" si="22"/>
        <v>#N/A</v>
      </c>
      <c r="U12" t="e">
        <f t="shared" si="23"/>
        <v>#N/A</v>
      </c>
      <c r="V12" t="e">
        <f t="shared" si="24"/>
        <v>#N/A</v>
      </c>
      <c r="W12" t="e">
        <f t="shared" si="25"/>
        <v>#N/A</v>
      </c>
      <c r="X12" t="e">
        <f t="shared" si="26"/>
        <v>#N/A</v>
      </c>
      <c r="Y12" t="e">
        <f t="shared" si="27"/>
        <v>#N/A</v>
      </c>
      <c r="Z12" t="e">
        <f t="shared" si="28"/>
        <v>#N/A</v>
      </c>
      <c r="AA12" t="e">
        <f t="shared" si="29"/>
        <v>#N/A</v>
      </c>
      <c r="AB12" t="e">
        <f t="shared" si="30"/>
        <v>#N/A</v>
      </c>
      <c r="AC12" t="e">
        <f t="shared" si="31"/>
        <v>#N/A</v>
      </c>
      <c r="AD12" t="e">
        <f t="shared" si="32"/>
        <v>#N/A</v>
      </c>
      <c r="AE12" t="e">
        <f t="shared" si="33"/>
        <v>#N/A</v>
      </c>
      <c r="AF12" s="12" t="e">
        <f>R12+COUNTIF($B12:B12,B12)-1</f>
        <v>#N/A</v>
      </c>
      <c r="AG12" s="12" t="e">
        <f>S12+COUNTIF($B12:C12,C12)-1</f>
        <v>#N/A</v>
      </c>
      <c r="AH12" s="12" t="e">
        <f>T12+COUNTIF($B12:D12,D12)-1</f>
        <v>#N/A</v>
      </c>
      <c r="AI12" s="12" t="e">
        <f>U12+COUNTIF($B12:E12,E12)-1</f>
        <v>#N/A</v>
      </c>
      <c r="AJ12" s="12" t="e">
        <f>V12+COUNTIF($B12:F12,F12)-1</f>
        <v>#N/A</v>
      </c>
      <c r="AK12" s="12" t="e">
        <f>W12+COUNTIF($B12:G12,G12)-1</f>
        <v>#N/A</v>
      </c>
      <c r="AL12" s="12" t="e">
        <f>X12+COUNTIF($B12:H12,H12)-1</f>
        <v>#N/A</v>
      </c>
      <c r="AM12" s="12" t="e">
        <f>Y12+COUNTIF($B12:I12,I12)-1</f>
        <v>#N/A</v>
      </c>
      <c r="AN12" s="12" t="e">
        <f>Z12+COUNTIF($B12:J12,J12)-1</f>
        <v>#N/A</v>
      </c>
      <c r="AO12" s="12" t="e">
        <f>AA12+COUNTIF($B12:K12,K12)-1</f>
        <v>#N/A</v>
      </c>
      <c r="AP12" s="12" t="e">
        <f>AB12+COUNTIF($B12:L12,L12)-1</f>
        <v>#N/A</v>
      </c>
      <c r="AQ12" s="12" t="e">
        <f>AC12+COUNTIF($B12:M12,M12)-1</f>
        <v>#N/A</v>
      </c>
      <c r="AR12" s="12" t="e">
        <f>AD12+COUNTIF($B12:N12,N12)-1</f>
        <v>#N/A</v>
      </c>
      <c r="AS12" s="12" t="e">
        <f>AE12+COUNTIF($B12:O12,O12)-1</f>
        <v>#N/A</v>
      </c>
      <c r="AT12" s="14">
        <f t="shared" si="6"/>
        <v>0</v>
      </c>
      <c r="AU12" s="11" t="e">
        <f t="shared" si="7"/>
        <v>#N/A</v>
      </c>
      <c r="AV12" s="15" t="e">
        <f t="shared" si="8"/>
        <v>#N/A</v>
      </c>
      <c r="AW12" s="11" t="e">
        <f t="shared" si="9"/>
        <v>#N/A</v>
      </c>
      <c r="AX12" s="15" t="e">
        <f t="shared" si="10"/>
        <v>#N/A</v>
      </c>
      <c r="AY12" s="11" t="e">
        <f t="shared" si="11"/>
        <v>#N/A</v>
      </c>
      <c r="AZ12" s="15" t="e">
        <f t="shared" si="12"/>
        <v>#N/A</v>
      </c>
      <c r="BA12" s="11" t="e">
        <f t="shared" si="13"/>
        <v>#N/A</v>
      </c>
      <c r="BB12" s="15" t="e">
        <f t="shared" si="14"/>
        <v>#N/A</v>
      </c>
      <c r="BC12" s="11" t="e">
        <f t="shared" si="15"/>
        <v>#N/A</v>
      </c>
      <c r="BD12" s="15" t="e">
        <f t="shared" si="16"/>
        <v>#N/A</v>
      </c>
      <c r="BE12" s="11" t="e">
        <f t="shared" si="17"/>
        <v>#N/A</v>
      </c>
      <c r="BF12" s="15" t="e">
        <f t="shared" si="18"/>
        <v>#N/A</v>
      </c>
    </row>
    <row r="13" spans="1:70">
      <c r="Q13">
        <f t="shared" si="19"/>
        <v>0</v>
      </c>
      <c r="R13" t="e">
        <f t="shared" si="20"/>
        <v>#N/A</v>
      </c>
      <c r="S13" t="e">
        <f t="shared" si="21"/>
        <v>#N/A</v>
      </c>
      <c r="T13" t="e">
        <f t="shared" si="22"/>
        <v>#N/A</v>
      </c>
      <c r="U13" t="e">
        <f t="shared" si="23"/>
        <v>#N/A</v>
      </c>
      <c r="V13" t="e">
        <f t="shared" si="24"/>
        <v>#N/A</v>
      </c>
      <c r="W13" t="e">
        <f t="shared" si="25"/>
        <v>#N/A</v>
      </c>
      <c r="X13" t="e">
        <f t="shared" si="26"/>
        <v>#N/A</v>
      </c>
      <c r="Y13" t="e">
        <f t="shared" si="27"/>
        <v>#N/A</v>
      </c>
      <c r="Z13" t="e">
        <f t="shared" si="28"/>
        <v>#N/A</v>
      </c>
      <c r="AA13" t="e">
        <f t="shared" si="29"/>
        <v>#N/A</v>
      </c>
      <c r="AB13" t="e">
        <f t="shared" si="30"/>
        <v>#N/A</v>
      </c>
      <c r="AC13" t="e">
        <f t="shared" si="31"/>
        <v>#N/A</v>
      </c>
      <c r="AD13" t="e">
        <f t="shared" si="32"/>
        <v>#N/A</v>
      </c>
      <c r="AE13" t="e">
        <f t="shared" si="33"/>
        <v>#N/A</v>
      </c>
      <c r="AF13" s="12" t="e">
        <f>R13+COUNTIF($B13:B13,B13)-1</f>
        <v>#N/A</v>
      </c>
      <c r="AG13" s="12" t="e">
        <f>S13+COUNTIF($B13:C13,C13)-1</f>
        <v>#N/A</v>
      </c>
      <c r="AH13" s="12" t="e">
        <f>T13+COUNTIF($B13:D13,D13)-1</f>
        <v>#N/A</v>
      </c>
      <c r="AI13" s="12" t="e">
        <f>U13+COUNTIF($B13:E13,E13)-1</f>
        <v>#N/A</v>
      </c>
      <c r="AJ13" s="12" t="e">
        <f>V13+COUNTIF($B13:F13,F13)-1</f>
        <v>#N/A</v>
      </c>
      <c r="AK13" s="12" t="e">
        <f>W13+COUNTIF($B13:G13,G13)-1</f>
        <v>#N/A</v>
      </c>
      <c r="AL13" s="12" t="e">
        <f>X13+COUNTIF($B13:H13,H13)-1</f>
        <v>#N/A</v>
      </c>
      <c r="AM13" s="12" t="e">
        <f>Y13+COUNTIF($B13:I13,I13)-1</f>
        <v>#N/A</v>
      </c>
      <c r="AN13" s="12" t="e">
        <f>Z13+COUNTIF($B13:J13,J13)-1</f>
        <v>#N/A</v>
      </c>
      <c r="AO13" s="12" t="e">
        <f>AA13+COUNTIF($B13:K13,K13)-1</f>
        <v>#N/A</v>
      </c>
      <c r="AP13" s="12" t="e">
        <f>AB13+COUNTIF($B13:L13,L13)-1</f>
        <v>#N/A</v>
      </c>
      <c r="AQ13" s="12" t="e">
        <f>AC13+COUNTIF($B13:M13,M13)-1</f>
        <v>#N/A</v>
      </c>
      <c r="AR13" s="12" t="e">
        <f>AD13+COUNTIF($B13:N13,N13)-1</f>
        <v>#N/A</v>
      </c>
      <c r="AS13" s="12" t="e">
        <f>AE13+COUNTIF($B13:O13,O13)-1</f>
        <v>#N/A</v>
      </c>
      <c r="AT13" s="14">
        <f t="shared" si="6"/>
        <v>0</v>
      </c>
      <c r="AU13" s="11" t="e">
        <f t="shared" si="7"/>
        <v>#N/A</v>
      </c>
      <c r="AV13" s="15" t="e">
        <f t="shared" si="8"/>
        <v>#N/A</v>
      </c>
      <c r="AW13" s="11" t="e">
        <f t="shared" si="9"/>
        <v>#N/A</v>
      </c>
      <c r="AX13" s="15" t="e">
        <f t="shared" si="10"/>
        <v>#N/A</v>
      </c>
      <c r="AY13" s="11" t="e">
        <f t="shared" si="11"/>
        <v>#N/A</v>
      </c>
      <c r="AZ13" s="15" t="e">
        <f t="shared" si="12"/>
        <v>#N/A</v>
      </c>
      <c r="BA13" s="11" t="e">
        <f t="shared" si="13"/>
        <v>#N/A</v>
      </c>
      <c r="BB13" s="15" t="e">
        <f t="shared" si="14"/>
        <v>#N/A</v>
      </c>
      <c r="BC13" s="11" t="e">
        <f t="shared" si="15"/>
        <v>#N/A</v>
      </c>
      <c r="BD13" s="15" t="e">
        <f t="shared" si="16"/>
        <v>#N/A</v>
      </c>
      <c r="BE13" s="11" t="e">
        <f t="shared" si="17"/>
        <v>#N/A</v>
      </c>
      <c r="BF13" s="15" t="e">
        <f t="shared" si="18"/>
        <v>#N/A</v>
      </c>
    </row>
    <row r="14" spans="1:70">
      <c r="Q14">
        <f t="shared" si="19"/>
        <v>0</v>
      </c>
      <c r="R14" t="e">
        <f t="shared" si="20"/>
        <v>#N/A</v>
      </c>
      <c r="S14" t="e">
        <f t="shared" si="21"/>
        <v>#N/A</v>
      </c>
      <c r="T14" t="e">
        <f t="shared" si="22"/>
        <v>#N/A</v>
      </c>
      <c r="U14" t="e">
        <f t="shared" si="23"/>
        <v>#N/A</v>
      </c>
      <c r="V14" t="e">
        <f t="shared" si="24"/>
        <v>#N/A</v>
      </c>
      <c r="W14" t="e">
        <f t="shared" si="25"/>
        <v>#N/A</v>
      </c>
      <c r="X14" t="e">
        <f t="shared" si="26"/>
        <v>#N/A</v>
      </c>
      <c r="Y14" t="e">
        <f t="shared" si="27"/>
        <v>#N/A</v>
      </c>
      <c r="Z14" t="e">
        <f t="shared" si="28"/>
        <v>#N/A</v>
      </c>
      <c r="AA14" t="e">
        <f t="shared" si="29"/>
        <v>#N/A</v>
      </c>
      <c r="AB14" t="e">
        <f t="shared" si="30"/>
        <v>#N/A</v>
      </c>
      <c r="AC14" t="e">
        <f t="shared" si="31"/>
        <v>#N/A</v>
      </c>
      <c r="AD14" t="e">
        <f t="shared" si="32"/>
        <v>#N/A</v>
      </c>
      <c r="AE14" t="e">
        <f t="shared" si="33"/>
        <v>#N/A</v>
      </c>
      <c r="AF14" s="12" t="e">
        <f>R14+COUNTIF($B14:B14,B14)-1</f>
        <v>#N/A</v>
      </c>
      <c r="AG14" s="12" t="e">
        <f>S14+COUNTIF($B14:C14,C14)-1</f>
        <v>#N/A</v>
      </c>
      <c r="AH14" s="12" t="e">
        <f>T14+COUNTIF($B14:D14,D14)-1</f>
        <v>#N/A</v>
      </c>
      <c r="AI14" s="12" t="e">
        <f>U14+COUNTIF($B14:E14,E14)-1</f>
        <v>#N/A</v>
      </c>
      <c r="AJ14" s="12" t="e">
        <f>V14+COUNTIF($B14:F14,F14)-1</f>
        <v>#N/A</v>
      </c>
      <c r="AK14" s="12" t="e">
        <f>W14+COUNTIF($B14:G14,G14)-1</f>
        <v>#N/A</v>
      </c>
      <c r="AL14" s="12" t="e">
        <f>X14+COUNTIF($B14:H14,H14)-1</f>
        <v>#N/A</v>
      </c>
      <c r="AM14" s="12" t="e">
        <f>Y14+COUNTIF($B14:I14,I14)-1</f>
        <v>#N/A</v>
      </c>
      <c r="AN14" s="12" t="e">
        <f>Z14+COUNTIF($B14:J14,J14)-1</f>
        <v>#N/A</v>
      </c>
      <c r="AO14" s="12" t="e">
        <f>AA14+COUNTIF($B14:K14,K14)-1</f>
        <v>#N/A</v>
      </c>
      <c r="AP14" s="12" t="e">
        <f>AB14+COUNTIF($B14:L14,L14)-1</f>
        <v>#N/A</v>
      </c>
      <c r="AQ14" s="12" t="e">
        <f>AC14+COUNTIF($B14:M14,M14)-1</f>
        <v>#N/A</v>
      </c>
      <c r="AR14" s="12" t="e">
        <f>AD14+COUNTIF($B14:N14,N14)-1</f>
        <v>#N/A</v>
      </c>
      <c r="AS14" s="12" t="e">
        <f>AE14+COUNTIF($B14:O14,O14)-1</f>
        <v>#N/A</v>
      </c>
      <c r="AT14" s="14">
        <f t="shared" si="6"/>
        <v>0</v>
      </c>
      <c r="AU14" s="11" t="e">
        <f t="shared" si="7"/>
        <v>#N/A</v>
      </c>
      <c r="AV14" s="15" t="e">
        <f t="shared" si="8"/>
        <v>#N/A</v>
      </c>
      <c r="AW14" s="11" t="e">
        <f t="shared" si="9"/>
        <v>#N/A</v>
      </c>
      <c r="AX14" s="15" t="e">
        <f t="shared" si="10"/>
        <v>#N/A</v>
      </c>
      <c r="AY14" s="11" t="e">
        <f t="shared" si="11"/>
        <v>#N/A</v>
      </c>
      <c r="AZ14" s="15" t="e">
        <f t="shared" si="12"/>
        <v>#N/A</v>
      </c>
      <c r="BA14" s="11" t="e">
        <f t="shared" si="13"/>
        <v>#N/A</v>
      </c>
      <c r="BB14" s="15" t="e">
        <f t="shared" si="14"/>
        <v>#N/A</v>
      </c>
      <c r="BC14" s="11" t="e">
        <f t="shared" si="15"/>
        <v>#N/A</v>
      </c>
      <c r="BD14" s="15" t="e">
        <f t="shared" si="16"/>
        <v>#N/A</v>
      </c>
      <c r="BE14" s="11" t="e">
        <f t="shared" si="17"/>
        <v>#N/A</v>
      </c>
      <c r="BF14" s="15" t="e">
        <f t="shared" si="18"/>
        <v>#N/A</v>
      </c>
    </row>
    <row r="15" spans="1:70">
      <c r="Q15">
        <f t="shared" si="19"/>
        <v>0</v>
      </c>
      <c r="R15" t="e">
        <f t="shared" si="20"/>
        <v>#N/A</v>
      </c>
      <c r="S15" t="e">
        <f t="shared" si="21"/>
        <v>#N/A</v>
      </c>
      <c r="T15" t="e">
        <f t="shared" si="22"/>
        <v>#N/A</v>
      </c>
      <c r="U15" t="e">
        <f t="shared" si="23"/>
        <v>#N/A</v>
      </c>
      <c r="V15" t="e">
        <f t="shared" si="24"/>
        <v>#N/A</v>
      </c>
      <c r="W15" t="e">
        <f t="shared" si="25"/>
        <v>#N/A</v>
      </c>
      <c r="X15" t="e">
        <f t="shared" si="26"/>
        <v>#N/A</v>
      </c>
      <c r="Y15" t="e">
        <f t="shared" si="27"/>
        <v>#N/A</v>
      </c>
      <c r="Z15" t="e">
        <f t="shared" si="28"/>
        <v>#N/A</v>
      </c>
      <c r="AA15" t="e">
        <f t="shared" si="29"/>
        <v>#N/A</v>
      </c>
      <c r="AB15" t="e">
        <f t="shared" si="30"/>
        <v>#N/A</v>
      </c>
      <c r="AC15" t="e">
        <f t="shared" si="31"/>
        <v>#N/A</v>
      </c>
      <c r="AD15" t="e">
        <f t="shared" si="32"/>
        <v>#N/A</v>
      </c>
      <c r="AE15" t="e">
        <f t="shared" si="33"/>
        <v>#N/A</v>
      </c>
      <c r="AF15" s="12" t="e">
        <f>R15+COUNTIF($B15:B15,B15)-1</f>
        <v>#N/A</v>
      </c>
      <c r="AG15" s="12" t="e">
        <f>S15+COUNTIF($B15:C15,C15)-1</f>
        <v>#N/A</v>
      </c>
      <c r="AH15" s="12" t="e">
        <f>T15+COUNTIF($B15:D15,D15)-1</f>
        <v>#N/A</v>
      </c>
      <c r="AI15" s="12" t="e">
        <f>U15+COUNTIF($B15:E15,E15)-1</f>
        <v>#N/A</v>
      </c>
      <c r="AJ15" s="12" t="e">
        <f>V15+COUNTIF($B15:F15,F15)-1</f>
        <v>#N/A</v>
      </c>
      <c r="AK15" s="12" t="e">
        <f>W15+COUNTIF($B15:G15,G15)-1</f>
        <v>#N/A</v>
      </c>
      <c r="AL15" s="12" t="e">
        <f>X15+COUNTIF($B15:H15,H15)-1</f>
        <v>#N/A</v>
      </c>
      <c r="AM15" s="12" t="e">
        <f>Y15+COUNTIF($B15:I15,I15)-1</f>
        <v>#N/A</v>
      </c>
      <c r="AN15" s="12" t="e">
        <f>Z15+COUNTIF($B15:J15,J15)-1</f>
        <v>#N/A</v>
      </c>
      <c r="AO15" s="12" t="e">
        <f>AA15+COUNTIF($B15:K15,K15)-1</f>
        <v>#N/A</v>
      </c>
      <c r="AP15" s="12" t="e">
        <f>AB15+COUNTIF($B15:L15,L15)-1</f>
        <v>#N/A</v>
      </c>
      <c r="AQ15" s="12" t="e">
        <f>AC15+COUNTIF($B15:M15,M15)-1</f>
        <v>#N/A</v>
      </c>
      <c r="AR15" s="12" t="e">
        <f>AD15+COUNTIF($B15:N15,N15)-1</f>
        <v>#N/A</v>
      </c>
      <c r="AS15" s="12" t="e">
        <f>AE15+COUNTIF($B15:O15,O15)-1</f>
        <v>#N/A</v>
      </c>
      <c r="AT15" s="14">
        <f t="shared" si="6"/>
        <v>0</v>
      </c>
      <c r="AU15" s="11" t="e">
        <f t="shared" si="7"/>
        <v>#N/A</v>
      </c>
      <c r="AV15" s="15" t="e">
        <f t="shared" si="8"/>
        <v>#N/A</v>
      </c>
      <c r="AW15" s="11" t="e">
        <f t="shared" si="9"/>
        <v>#N/A</v>
      </c>
      <c r="AX15" s="15" t="e">
        <f t="shared" si="10"/>
        <v>#N/A</v>
      </c>
      <c r="AY15" s="11" t="e">
        <f t="shared" si="11"/>
        <v>#N/A</v>
      </c>
      <c r="AZ15" s="15" t="e">
        <f t="shared" si="12"/>
        <v>#N/A</v>
      </c>
      <c r="BA15" s="11" t="e">
        <f t="shared" si="13"/>
        <v>#N/A</v>
      </c>
      <c r="BB15" s="15" t="e">
        <f t="shared" si="14"/>
        <v>#N/A</v>
      </c>
      <c r="BC15" s="11" t="e">
        <f t="shared" si="15"/>
        <v>#N/A</v>
      </c>
      <c r="BD15" s="15" t="e">
        <f t="shared" si="16"/>
        <v>#N/A</v>
      </c>
      <c r="BE15" s="11" t="e">
        <f t="shared" si="17"/>
        <v>#N/A</v>
      </c>
      <c r="BF15" s="15" t="e">
        <f t="shared" si="18"/>
        <v>#N/A</v>
      </c>
    </row>
    <row r="16" spans="1:70">
      <c r="Q16">
        <f t="shared" si="19"/>
        <v>0</v>
      </c>
      <c r="R16" t="e">
        <f t="shared" si="20"/>
        <v>#N/A</v>
      </c>
      <c r="S16" t="e">
        <f t="shared" si="21"/>
        <v>#N/A</v>
      </c>
      <c r="T16" t="e">
        <f t="shared" si="22"/>
        <v>#N/A</v>
      </c>
      <c r="U16" t="e">
        <f t="shared" si="23"/>
        <v>#N/A</v>
      </c>
      <c r="V16" t="e">
        <f t="shared" si="24"/>
        <v>#N/A</v>
      </c>
      <c r="W16" t="e">
        <f t="shared" si="25"/>
        <v>#N/A</v>
      </c>
      <c r="X16" t="e">
        <f t="shared" si="26"/>
        <v>#N/A</v>
      </c>
      <c r="Y16" t="e">
        <f t="shared" si="27"/>
        <v>#N/A</v>
      </c>
      <c r="Z16" t="e">
        <f t="shared" si="28"/>
        <v>#N/A</v>
      </c>
      <c r="AA16" t="e">
        <f t="shared" si="29"/>
        <v>#N/A</v>
      </c>
      <c r="AB16" t="e">
        <f t="shared" si="30"/>
        <v>#N/A</v>
      </c>
      <c r="AC16" t="e">
        <f t="shared" si="31"/>
        <v>#N/A</v>
      </c>
      <c r="AD16" t="e">
        <f t="shared" si="32"/>
        <v>#N/A</v>
      </c>
      <c r="AE16" t="e">
        <f t="shared" si="33"/>
        <v>#N/A</v>
      </c>
      <c r="AF16" s="12" t="e">
        <f>R16+COUNTIF($B16:B16,B16)-1</f>
        <v>#N/A</v>
      </c>
      <c r="AG16" s="12" t="e">
        <f>S16+COUNTIF($B16:C16,C16)-1</f>
        <v>#N/A</v>
      </c>
      <c r="AH16" s="12" t="e">
        <f>T16+COUNTIF($B16:D16,D16)-1</f>
        <v>#N/A</v>
      </c>
      <c r="AI16" s="12" t="e">
        <f>U16+COUNTIF($B16:E16,E16)-1</f>
        <v>#N/A</v>
      </c>
      <c r="AJ16" s="12" t="e">
        <f>V16+COUNTIF($B16:F16,F16)-1</f>
        <v>#N/A</v>
      </c>
      <c r="AK16" s="12" t="e">
        <f>W16+COUNTIF($B16:G16,G16)-1</f>
        <v>#N/A</v>
      </c>
      <c r="AL16" s="12" t="e">
        <f>X16+COUNTIF($B16:H16,H16)-1</f>
        <v>#N/A</v>
      </c>
      <c r="AM16" s="12" t="e">
        <f>Y16+COUNTIF($B16:I16,I16)-1</f>
        <v>#N/A</v>
      </c>
      <c r="AN16" s="12" t="e">
        <f>Z16+COUNTIF($B16:J16,J16)-1</f>
        <v>#N/A</v>
      </c>
      <c r="AO16" s="12" t="e">
        <f>AA16+COUNTIF($B16:K16,K16)-1</f>
        <v>#N/A</v>
      </c>
      <c r="AP16" s="12" t="e">
        <f>AB16+COUNTIF($B16:L16,L16)-1</f>
        <v>#N/A</v>
      </c>
      <c r="AQ16" s="12" t="e">
        <f>AC16+COUNTIF($B16:M16,M16)-1</f>
        <v>#N/A</v>
      </c>
      <c r="AR16" s="12" t="e">
        <f>AD16+COUNTIF($B16:N16,N16)-1</f>
        <v>#N/A</v>
      </c>
      <c r="AS16" s="12" t="e">
        <f>AE16+COUNTIF($B16:O16,O16)-1</f>
        <v>#N/A</v>
      </c>
      <c r="AT16" s="14">
        <f t="shared" si="6"/>
        <v>0</v>
      </c>
      <c r="AU16" s="11" t="e">
        <f t="shared" si="7"/>
        <v>#N/A</v>
      </c>
      <c r="AV16" s="15" t="e">
        <f t="shared" si="8"/>
        <v>#N/A</v>
      </c>
      <c r="AW16" s="11" t="e">
        <f t="shared" si="9"/>
        <v>#N/A</v>
      </c>
      <c r="AX16" s="15" t="e">
        <f t="shared" si="10"/>
        <v>#N/A</v>
      </c>
      <c r="AY16" s="11" t="e">
        <f t="shared" si="11"/>
        <v>#N/A</v>
      </c>
      <c r="AZ16" s="15" t="e">
        <f t="shared" si="12"/>
        <v>#N/A</v>
      </c>
      <c r="BA16" s="11" t="e">
        <f t="shared" si="13"/>
        <v>#N/A</v>
      </c>
      <c r="BB16" s="15" t="e">
        <f t="shared" si="14"/>
        <v>#N/A</v>
      </c>
      <c r="BC16" s="11" t="e">
        <f t="shared" si="15"/>
        <v>#N/A</v>
      </c>
      <c r="BD16" s="15" t="e">
        <f t="shared" si="16"/>
        <v>#N/A</v>
      </c>
      <c r="BE16" s="11" t="e">
        <f t="shared" si="17"/>
        <v>#N/A</v>
      </c>
      <c r="BF16" s="15" t="e">
        <f t="shared" si="18"/>
        <v>#N/A</v>
      </c>
    </row>
    <row r="17" spans="17:58">
      <c r="Q17">
        <f t="shared" si="19"/>
        <v>0</v>
      </c>
      <c r="R17" t="e">
        <f t="shared" si="20"/>
        <v>#N/A</v>
      </c>
      <c r="S17" t="e">
        <f t="shared" si="21"/>
        <v>#N/A</v>
      </c>
      <c r="T17" t="e">
        <f t="shared" si="22"/>
        <v>#N/A</v>
      </c>
      <c r="U17" t="e">
        <f t="shared" si="23"/>
        <v>#N/A</v>
      </c>
      <c r="V17" t="e">
        <f t="shared" si="24"/>
        <v>#N/A</v>
      </c>
      <c r="W17" t="e">
        <f t="shared" si="25"/>
        <v>#N/A</v>
      </c>
      <c r="X17" t="e">
        <f t="shared" si="26"/>
        <v>#N/A</v>
      </c>
      <c r="Y17" t="e">
        <f t="shared" si="27"/>
        <v>#N/A</v>
      </c>
      <c r="Z17" t="e">
        <f t="shared" si="28"/>
        <v>#N/A</v>
      </c>
      <c r="AA17" t="e">
        <f t="shared" si="29"/>
        <v>#N/A</v>
      </c>
      <c r="AB17" t="e">
        <f t="shared" si="30"/>
        <v>#N/A</v>
      </c>
      <c r="AC17" t="e">
        <f t="shared" si="31"/>
        <v>#N/A</v>
      </c>
      <c r="AD17" t="e">
        <f t="shared" si="32"/>
        <v>#N/A</v>
      </c>
      <c r="AE17" t="e">
        <f t="shared" si="33"/>
        <v>#N/A</v>
      </c>
      <c r="AF17" s="12" t="e">
        <f>R17+COUNTIF($B17:B17,B17)-1</f>
        <v>#N/A</v>
      </c>
      <c r="AG17" s="12" t="e">
        <f>S17+COUNTIF($B17:C17,C17)-1</f>
        <v>#N/A</v>
      </c>
      <c r="AH17" s="12" t="e">
        <f>T17+COUNTIF($B17:D17,D17)-1</f>
        <v>#N/A</v>
      </c>
      <c r="AI17" s="12" t="e">
        <f>U17+COUNTIF($B17:E17,E17)-1</f>
        <v>#N/A</v>
      </c>
      <c r="AJ17" s="12" t="e">
        <f>V17+COUNTIF($B17:F17,F17)-1</f>
        <v>#N/A</v>
      </c>
      <c r="AK17" s="12" t="e">
        <f>W17+COUNTIF($B17:G17,G17)-1</f>
        <v>#N/A</v>
      </c>
      <c r="AL17" s="12" t="e">
        <f>X17+COUNTIF($B17:H17,H17)-1</f>
        <v>#N/A</v>
      </c>
      <c r="AM17" s="12" t="e">
        <f>Y17+COUNTIF($B17:I17,I17)-1</f>
        <v>#N/A</v>
      </c>
      <c r="AN17" s="12" t="e">
        <f>Z17+COUNTIF($B17:J17,J17)-1</f>
        <v>#N/A</v>
      </c>
      <c r="AO17" s="12" t="e">
        <f>AA17+COUNTIF($B17:K17,K17)-1</f>
        <v>#N/A</v>
      </c>
      <c r="AP17" s="12" t="e">
        <f>AB17+COUNTIF($B17:L17,L17)-1</f>
        <v>#N/A</v>
      </c>
      <c r="AQ17" s="12" t="e">
        <f>AC17+COUNTIF($B17:M17,M17)-1</f>
        <v>#N/A</v>
      </c>
      <c r="AR17" s="12" t="e">
        <f>AD17+COUNTIF($B17:N17,N17)-1</f>
        <v>#N/A</v>
      </c>
      <c r="AS17" s="12" t="e">
        <f>AE17+COUNTIF($B17:O17,O17)-1</f>
        <v>#N/A</v>
      </c>
      <c r="AT17" s="14">
        <f t="shared" si="6"/>
        <v>0</v>
      </c>
      <c r="AU17" s="11" t="e">
        <f t="shared" si="7"/>
        <v>#N/A</v>
      </c>
      <c r="AV17" s="15" t="e">
        <f t="shared" si="8"/>
        <v>#N/A</v>
      </c>
      <c r="AW17" s="11" t="e">
        <f t="shared" si="9"/>
        <v>#N/A</v>
      </c>
      <c r="AX17" s="15" t="e">
        <f t="shared" si="10"/>
        <v>#N/A</v>
      </c>
      <c r="AY17" s="11" t="e">
        <f t="shared" si="11"/>
        <v>#N/A</v>
      </c>
      <c r="AZ17" s="15" t="e">
        <f t="shared" si="12"/>
        <v>#N/A</v>
      </c>
      <c r="BA17" s="11" t="e">
        <f t="shared" si="13"/>
        <v>#N/A</v>
      </c>
      <c r="BB17" s="15" t="e">
        <f t="shared" si="14"/>
        <v>#N/A</v>
      </c>
      <c r="BC17" s="11" t="e">
        <f t="shared" si="15"/>
        <v>#N/A</v>
      </c>
      <c r="BD17" s="15" t="e">
        <f t="shared" si="16"/>
        <v>#N/A</v>
      </c>
      <c r="BE17" s="11" t="e">
        <f t="shared" si="17"/>
        <v>#N/A</v>
      </c>
      <c r="BF17" s="15" t="e">
        <f t="shared" si="18"/>
        <v>#N/A</v>
      </c>
    </row>
    <row r="18" spans="17:58">
      <c r="Q18">
        <f t="shared" si="19"/>
        <v>0</v>
      </c>
      <c r="R18" t="e">
        <f t="shared" si="20"/>
        <v>#N/A</v>
      </c>
      <c r="S18" t="e">
        <f t="shared" si="21"/>
        <v>#N/A</v>
      </c>
      <c r="T18" t="e">
        <f t="shared" si="22"/>
        <v>#N/A</v>
      </c>
      <c r="U18" t="e">
        <f t="shared" si="23"/>
        <v>#N/A</v>
      </c>
      <c r="V18" t="e">
        <f t="shared" si="24"/>
        <v>#N/A</v>
      </c>
      <c r="W18" t="e">
        <f t="shared" si="25"/>
        <v>#N/A</v>
      </c>
      <c r="X18" t="e">
        <f t="shared" si="26"/>
        <v>#N/A</v>
      </c>
      <c r="Y18" t="e">
        <f t="shared" si="27"/>
        <v>#N/A</v>
      </c>
      <c r="Z18" t="e">
        <f t="shared" si="28"/>
        <v>#N/A</v>
      </c>
      <c r="AA18" t="e">
        <f t="shared" si="29"/>
        <v>#N/A</v>
      </c>
      <c r="AB18" t="e">
        <f t="shared" si="30"/>
        <v>#N/A</v>
      </c>
      <c r="AC18" t="e">
        <f t="shared" si="31"/>
        <v>#N/A</v>
      </c>
      <c r="AD18" t="e">
        <f t="shared" si="32"/>
        <v>#N/A</v>
      </c>
      <c r="AE18" t="e">
        <f t="shared" si="33"/>
        <v>#N/A</v>
      </c>
      <c r="AF18" s="12" t="e">
        <f>R18+COUNTIF($B18:B18,B18)-1</f>
        <v>#N/A</v>
      </c>
      <c r="AG18" s="12" t="e">
        <f>S18+COUNTIF($B18:C18,C18)-1</f>
        <v>#N/A</v>
      </c>
      <c r="AH18" s="12" t="e">
        <f>T18+COUNTIF($B18:D18,D18)-1</f>
        <v>#N/A</v>
      </c>
      <c r="AI18" s="12" t="e">
        <f>U18+COUNTIF($B18:E18,E18)-1</f>
        <v>#N/A</v>
      </c>
      <c r="AJ18" s="12" t="e">
        <f>V18+COUNTIF($B18:F18,F18)-1</f>
        <v>#N/A</v>
      </c>
      <c r="AK18" s="12" t="e">
        <f>W18+COUNTIF($B18:G18,G18)-1</f>
        <v>#N/A</v>
      </c>
      <c r="AL18" s="12" t="e">
        <f>X18+COUNTIF($B18:H18,H18)-1</f>
        <v>#N/A</v>
      </c>
      <c r="AM18" s="12" t="e">
        <f>Y18+COUNTIF($B18:I18,I18)-1</f>
        <v>#N/A</v>
      </c>
      <c r="AN18" s="12" t="e">
        <f>Z18+COUNTIF($B18:J18,J18)-1</f>
        <v>#N/A</v>
      </c>
      <c r="AO18" s="12" t="e">
        <f>AA18+COUNTIF($B18:K18,K18)-1</f>
        <v>#N/A</v>
      </c>
      <c r="AP18" s="12" t="e">
        <f>AB18+COUNTIF($B18:L18,L18)-1</f>
        <v>#N/A</v>
      </c>
      <c r="AQ18" s="12" t="e">
        <f>AC18+COUNTIF($B18:M18,M18)-1</f>
        <v>#N/A</v>
      </c>
      <c r="AR18" s="12" t="e">
        <f>AD18+COUNTIF($B18:N18,N18)-1</f>
        <v>#N/A</v>
      </c>
      <c r="AS18" s="12" t="e">
        <f>AE18+COUNTIF($B18:O18,O18)-1</f>
        <v>#N/A</v>
      </c>
      <c r="AT18" s="14">
        <f t="shared" si="6"/>
        <v>0</v>
      </c>
      <c r="AU18" s="11" t="e">
        <f t="shared" si="7"/>
        <v>#N/A</v>
      </c>
      <c r="AV18" s="15" t="e">
        <f t="shared" si="8"/>
        <v>#N/A</v>
      </c>
      <c r="AW18" s="11" t="e">
        <f t="shared" si="9"/>
        <v>#N/A</v>
      </c>
      <c r="AX18" s="15" t="e">
        <f t="shared" si="10"/>
        <v>#N/A</v>
      </c>
      <c r="AY18" s="11" t="e">
        <f t="shared" si="11"/>
        <v>#N/A</v>
      </c>
      <c r="AZ18" s="15" t="e">
        <f t="shared" si="12"/>
        <v>#N/A</v>
      </c>
      <c r="BA18" s="11" t="e">
        <f t="shared" si="13"/>
        <v>#N/A</v>
      </c>
      <c r="BB18" s="15" t="e">
        <f t="shared" si="14"/>
        <v>#N/A</v>
      </c>
      <c r="BC18" s="11" t="e">
        <f t="shared" si="15"/>
        <v>#N/A</v>
      </c>
      <c r="BD18" s="15" t="e">
        <f t="shared" si="16"/>
        <v>#N/A</v>
      </c>
      <c r="BE18" s="11" t="e">
        <f t="shared" si="17"/>
        <v>#N/A</v>
      </c>
      <c r="BF18" s="15" t="e">
        <f t="shared" si="18"/>
        <v>#N/A</v>
      </c>
    </row>
    <row r="19" spans="17:58">
      <c r="Q19">
        <f t="shared" si="19"/>
        <v>0</v>
      </c>
      <c r="R19" t="e">
        <f t="shared" si="20"/>
        <v>#N/A</v>
      </c>
      <c r="S19" t="e">
        <f t="shared" si="21"/>
        <v>#N/A</v>
      </c>
      <c r="T19" t="e">
        <f t="shared" si="22"/>
        <v>#N/A</v>
      </c>
      <c r="U19" t="e">
        <f t="shared" si="23"/>
        <v>#N/A</v>
      </c>
      <c r="V19" t="e">
        <f t="shared" si="24"/>
        <v>#N/A</v>
      </c>
      <c r="W19" t="e">
        <f t="shared" si="25"/>
        <v>#N/A</v>
      </c>
      <c r="X19" t="e">
        <f t="shared" si="26"/>
        <v>#N/A</v>
      </c>
      <c r="Y19" t="e">
        <f t="shared" si="27"/>
        <v>#N/A</v>
      </c>
      <c r="Z19" t="e">
        <f t="shared" si="28"/>
        <v>#N/A</v>
      </c>
      <c r="AA19" t="e">
        <f t="shared" si="29"/>
        <v>#N/A</v>
      </c>
      <c r="AB19" t="e">
        <f t="shared" si="30"/>
        <v>#N/A</v>
      </c>
      <c r="AC19" t="e">
        <f t="shared" si="31"/>
        <v>#N/A</v>
      </c>
      <c r="AD19" t="e">
        <f t="shared" si="32"/>
        <v>#N/A</v>
      </c>
      <c r="AE19" t="e">
        <f t="shared" si="33"/>
        <v>#N/A</v>
      </c>
      <c r="AF19" s="12" t="e">
        <f>R19+COUNTIF($B19:B19,B19)-1</f>
        <v>#N/A</v>
      </c>
      <c r="AG19" s="12" t="e">
        <f>S19+COUNTIF($B19:C19,C19)-1</f>
        <v>#N/A</v>
      </c>
      <c r="AH19" s="12" t="e">
        <f>T19+COUNTIF($B19:D19,D19)-1</f>
        <v>#N/A</v>
      </c>
      <c r="AI19" s="12" t="e">
        <f>U19+COUNTIF($B19:E19,E19)-1</f>
        <v>#N/A</v>
      </c>
      <c r="AJ19" s="12" t="e">
        <f>V19+COUNTIF($B19:F19,F19)-1</f>
        <v>#N/A</v>
      </c>
      <c r="AK19" s="12" t="e">
        <f>W19+COUNTIF($B19:G19,G19)-1</f>
        <v>#N/A</v>
      </c>
      <c r="AL19" s="12" t="e">
        <f>X19+COUNTIF($B19:H19,H19)-1</f>
        <v>#N/A</v>
      </c>
      <c r="AM19" s="12" t="e">
        <f>Y19+COUNTIF($B19:I19,I19)-1</f>
        <v>#N/A</v>
      </c>
      <c r="AN19" s="12" t="e">
        <f>Z19+COUNTIF($B19:J19,J19)-1</f>
        <v>#N/A</v>
      </c>
      <c r="AO19" s="12" t="e">
        <f>AA19+COUNTIF($B19:K19,K19)-1</f>
        <v>#N/A</v>
      </c>
      <c r="AP19" s="12" t="e">
        <f>AB19+COUNTIF($B19:L19,L19)-1</f>
        <v>#N/A</v>
      </c>
      <c r="AQ19" s="12" t="e">
        <f>AC19+COUNTIF($B19:M19,M19)-1</f>
        <v>#N/A</v>
      </c>
      <c r="AR19" s="12" t="e">
        <f>AD19+COUNTIF($B19:N19,N19)-1</f>
        <v>#N/A</v>
      </c>
      <c r="AS19" s="12" t="e">
        <f>AE19+COUNTIF($B19:O19,O19)-1</f>
        <v>#N/A</v>
      </c>
      <c r="AT19" s="14">
        <f t="shared" si="6"/>
        <v>0</v>
      </c>
      <c r="AU19" s="11" t="e">
        <f t="shared" si="7"/>
        <v>#N/A</v>
      </c>
      <c r="AV19" s="15" t="e">
        <f t="shared" si="8"/>
        <v>#N/A</v>
      </c>
      <c r="AW19" s="11" t="e">
        <f t="shared" si="9"/>
        <v>#N/A</v>
      </c>
      <c r="AX19" s="15" t="e">
        <f t="shared" si="10"/>
        <v>#N/A</v>
      </c>
      <c r="AY19" s="11" t="e">
        <f t="shared" si="11"/>
        <v>#N/A</v>
      </c>
      <c r="AZ19" s="15" t="e">
        <f t="shared" si="12"/>
        <v>#N/A</v>
      </c>
      <c r="BA19" s="11" t="e">
        <f t="shared" si="13"/>
        <v>#N/A</v>
      </c>
      <c r="BB19" s="15" t="e">
        <f t="shared" si="14"/>
        <v>#N/A</v>
      </c>
      <c r="BC19" s="11" t="e">
        <f t="shared" si="15"/>
        <v>#N/A</v>
      </c>
      <c r="BD19" s="15" t="e">
        <f t="shared" si="16"/>
        <v>#N/A</v>
      </c>
      <c r="BE19" s="11" t="e">
        <f t="shared" si="17"/>
        <v>#N/A</v>
      </c>
      <c r="BF19" s="15" t="e">
        <f t="shared" si="18"/>
        <v>#N/A</v>
      </c>
    </row>
    <row r="20" spans="17:58">
      <c r="Q20">
        <f t="shared" si="19"/>
        <v>0</v>
      </c>
      <c r="R20" t="e">
        <f t="shared" si="20"/>
        <v>#N/A</v>
      </c>
      <c r="S20" t="e">
        <f t="shared" si="21"/>
        <v>#N/A</v>
      </c>
      <c r="T20" t="e">
        <f t="shared" si="22"/>
        <v>#N/A</v>
      </c>
      <c r="U20" t="e">
        <f t="shared" si="23"/>
        <v>#N/A</v>
      </c>
      <c r="V20" t="e">
        <f t="shared" si="24"/>
        <v>#N/A</v>
      </c>
      <c r="W20" t="e">
        <f t="shared" si="25"/>
        <v>#N/A</v>
      </c>
      <c r="X20" t="e">
        <f t="shared" si="26"/>
        <v>#N/A</v>
      </c>
      <c r="Y20" t="e">
        <f t="shared" si="27"/>
        <v>#N/A</v>
      </c>
      <c r="Z20" t="e">
        <f t="shared" si="28"/>
        <v>#N/A</v>
      </c>
      <c r="AA20" t="e">
        <f t="shared" si="29"/>
        <v>#N/A</v>
      </c>
      <c r="AB20" t="e">
        <f t="shared" si="30"/>
        <v>#N/A</v>
      </c>
      <c r="AC20" t="e">
        <f t="shared" si="31"/>
        <v>#N/A</v>
      </c>
      <c r="AD20" t="e">
        <f t="shared" si="32"/>
        <v>#N/A</v>
      </c>
      <c r="AE20" t="e">
        <f t="shared" si="33"/>
        <v>#N/A</v>
      </c>
      <c r="AF20" s="12" t="e">
        <f>R20+COUNTIF($B20:B20,B20)-1</f>
        <v>#N/A</v>
      </c>
      <c r="AG20" s="12" t="e">
        <f>S20+COUNTIF($B20:C20,C20)-1</f>
        <v>#N/A</v>
      </c>
      <c r="AH20" s="12" t="e">
        <f>T20+COUNTIF($B20:D20,D20)-1</f>
        <v>#N/A</v>
      </c>
      <c r="AI20" s="12" t="e">
        <f>U20+COUNTIF($B20:E20,E20)-1</f>
        <v>#N/A</v>
      </c>
      <c r="AJ20" s="12" t="e">
        <f>V20+COUNTIF($B20:F20,F20)-1</f>
        <v>#N/A</v>
      </c>
      <c r="AK20" s="12" t="e">
        <f>W20+COUNTIF($B20:G20,G20)-1</f>
        <v>#N/A</v>
      </c>
      <c r="AL20" s="12" t="e">
        <f>X20+COUNTIF($B20:H20,H20)-1</f>
        <v>#N/A</v>
      </c>
      <c r="AM20" s="12" t="e">
        <f>Y20+COUNTIF($B20:I20,I20)-1</f>
        <v>#N/A</v>
      </c>
      <c r="AN20" s="12" t="e">
        <f>Z20+COUNTIF($B20:J20,J20)-1</f>
        <v>#N/A</v>
      </c>
      <c r="AO20" s="12" t="e">
        <f>AA20+COUNTIF($B20:K20,K20)-1</f>
        <v>#N/A</v>
      </c>
      <c r="AP20" s="12" t="e">
        <f>AB20+COUNTIF($B20:L20,L20)-1</f>
        <v>#N/A</v>
      </c>
      <c r="AQ20" s="12" t="e">
        <f>AC20+COUNTIF($B20:M20,M20)-1</f>
        <v>#N/A</v>
      </c>
      <c r="AR20" s="12" t="e">
        <f>AD20+COUNTIF($B20:N20,N20)-1</f>
        <v>#N/A</v>
      </c>
      <c r="AS20" s="12" t="e">
        <f>AE20+COUNTIF($B20:O20,O20)-1</f>
        <v>#N/A</v>
      </c>
      <c r="AT20" s="14">
        <f t="shared" si="6"/>
        <v>0</v>
      </c>
      <c r="AU20" s="11" t="e">
        <f t="shared" si="7"/>
        <v>#N/A</v>
      </c>
      <c r="AV20" s="15" t="e">
        <f t="shared" si="8"/>
        <v>#N/A</v>
      </c>
      <c r="AW20" s="11" t="e">
        <f t="shared" si="9"/>
        <v>#N/A</v>
      </c>
      <c r="AX20" s="15" t="e">
        <f t="shared" si="10"/>
        <v>#N/A</v>
      </c>
      <c r="AY20" s="11" t="e">
        <f t="shared" si="11"/>
        <v>#N/A</v>
      </c>
      <c r="AZ20" s="15" t="e">
        <f t="shared" si="12"/>
        <v>#N/A</v>
      </c>
      <c r="BA20" s="11" t="e">
        <f t="shared" si="13"/>
        <v>#N/A</v>
      </c>
      <c r="BB20" s="15" t="e">
        <f t="shared" si="14"/>
        <v>#N/A</v>
      </c>
      <c r="BC20" s="11" t="e">
        <f t="shared" si="15"/>
        <v>#N/A</v>
      </c>
      <c r="BD20" s="15" t="e">
        <f t="shared" si="16"/>
        <v>#N/A</v>
      </c>
      <c r="BE20" s="11" t="e">
        <f t="shared" si="17"/>
        <v>#N/A</v>
      </c>
      <c r="BF20" s="15" t="e">
        <f t="shared" si="18"/>
        <v>#N/A</v>
      </c>
    </row>
    <row r="21" spans="17:58">
      <c r="Q21">
        <f t="shared" si="19"/>
        <v>0</v>
      </c>
      <c r="R21" t="e">
        <f t="shared" si="20"/>
        <v>#N/A</v>
      </c>
      <c r="S21" t="e">
        <f t="shared" si="21"/>
        <v>#N/A</v>
      </c>
      <c r="T21" t="e">
        <f t="shared" si="22"/>
        <v>#N/A</v>
      </c>
      <c r="U21" t="e">
        <f t="shared" si="23"/>
        <v>#N/A</v>
      </c>
      <c r="V21" t="e">
        <f t="shared" si="24"/>
        <v>#N/A</v>
      </c>
      <c r="W21" t="e">
        <f t="shared" si="25"/>
        <v>#N/A</v>
      </c>
      <c r="X21" t="e">
        <f t="shared" si="26"/>
        <v>#N/A</v>
      </c>
      <c r="Y21" t="e">
        <f t="shared" si="27"/>
        <v>#N/A</v>
      </c>
      <c r="Z21" t="e">
        <f t="shared" si="28"/>
        <v>#N/A</v>
      </c>
      <c r="AA21" t="e">
        <f t="shared" si="29"/>
        <v>#N/A</v>
      </c>
      <c r="AB21" t="e">
        <f t="shared" si="30"/>
        <v>#N/A</v>
      </c>
      <c r="AC21" t="e">
        <f t="shared" si="31"/>
        <v>#N/A</v>
      </c>
      <c r="AD21" t="e">
        <f t="shared" si="32"/>
        <v>#N/A</v>
      </c>
      <c r="AE21" t="e">
        <f t="shared" si="33"/>
        <v>#N/A</v>
      </c>
      <c r="AF21" s="12" t="e">
        <f>R21+COUNTIF($B21:B21,B21)-1</f>
        <v>#N/A</v>
      </c>
      <c r="AG21" s="12" t="e">
        <f>S21+COUNTIF($B21:C21,C21)-1</f>
        <v>#N/A</v>
      </c>
      <c r="AH21" s="12" t="e">
        <f>T21+COUNTIF($B21:D21,D21)-1</f>
        <v>#N/A</v>
      </c>
      <c r="AI21" s="12" t="e">
        <f>U21+COUNTIF($B21:E21,E21)-1</f>
        <v>#N/A</v>
      </c>
      <c r="AJ21" s="12" t="e">
        <f>V21+COUNTIF($B21:F21,F21)-1</f>
        <v>#N/A</v>
      </c>
      <c r="AK21" s="12" t="e">
        <f>W21+COUNTIF($B21:G21,G21)-1</f>
        <v>#N/A</v>
      </c>
      <c r="AL21" s="12" t="e">
        <f>X21+COUNTIF($B21:H21,H21)-1</f>
        <v>#N/A</v>
      </c>
      <c r="AM21" s="12" t="e">
        <f>Y21+COUNTIF($B21:I21,I21)-1</f>
        <v>#N/A</v>
      </c>
      <c r="AN21" s="12" t="e">
        <f>Z21+COUNTIF($B21:J21,J21)-1</f>
        <v>#N/A</v>
      </c>
      <c r="AO21" s="12" t="e">
        <f>AA21+COUNTIF($B21:K21,K21)-1</f>
        <v>#N/A</v>
      </c>
      <c r="AP21" s="12" t="e">
        <f>AB21+COUNTIF($B21:L21,L21)-1</f>
        <v>#N/A</v>
      </c>
      <c r="AQ21" s="12" t="e">
        <f>AC21+COUNTIF($B21:M21,M21)-1</f>
        <v>#N/A</v>
      </c>
      <c r="AR21" s="12" t="e">
        <f>AD21+COUNTIF($B21:N21,N21)-1</f>
        <v>#N/A</v>
      </c>
      <c r="AS21" s="12" t="e">
        <f>AE21+COUNTIF($B21:O21,O21)-1</f>
        <v>#N/A</v>
      </c>
      <c r="AT21" s="14">
        <f t="shared" si="6"/>
        <v>0</v>
      </c>
      <c r="AU21" s="11" t="e">
        <f t="shared" si="7"/>
        <v>#N/A</v>
      </c>
      <c r="AV21" s="15" t="e">
        <f t="shared" si="8"/>
        <v>#N/A</v>
      </c>
      <c r="AW21" s="11" t="e">
        <f t="shared" si="9"/>
        <v>#N/A</v>
      </c>
      <c r="AX21" s="15" t="e">
        <f t="shared" si="10"/>
        <v>#N/A</v>
      </c>
      <c r="AY21" s="11" t="e">
        <f t="shared" si="11"/>
        <v>#N/A</v>
      </c>
      <c r="AZ21" s="15" t="e">
        <f t="shared" si="12"/>
        <v>#N/A</v>
      </c>
      <c r="BA21" s="11" t="e">
        <f t="shared" si="13"/>
        <v>#N/A</v>
      </c>
      <c r="BB21" s="15" t="e">
        <f t="shared" si="14"/>
        <v>#N/A</v>
      </c>
      <c r="BC21" s="11" t="e">
        <f t="shared" si="15"/>
        <v>#N/A</v>
      </c>
      <c r="BD21" s="15" t="e">
        <f t="shared" si="16"/>
        <v>#N/A</v>
      </c>
      <c r="BE21" s="11" t="e">
        <f t="shared" si="17"/>
        <v>#N/A</v>
      </c>
      <c r="BF21" s="15" t="e">
        <f t="shared" si="18"/>
        <v>#N/A</v>
      </c>
    </row>
    <row r="22" spans="17:58">
      <c r="Q22">
        <f t="shared" si="19"/>
        <v>0</v>
      </c>
      <c r="R22" t="e">
        <f t="shared" si="20"/>
        <v>#N/A</v>
      </c>
      <c r="S22" t="e">
        <f t="shared" si="21"/>
        <v>#N/A</v>
      </c>
      <c r="T22" t="e">
        <f t="shared" si="22"/>
        <v>#N/A</v>
      </c>
      <c r="U22" t="e">
        <f t="shared" si="23"/>
        <v>#N/A</v>
      </c>
      <c r="V22" t="e">
        <f t="shared" si="24"/>
        <v>#N/A</v>
      </c>
      <c r="W22" t="e">
        <f t="shared" si="25"/>
        <v>#N/A</v>
      </c>
      <c r="X22" t="e">
        <f t="shared" si="26"/>
        <v>#N/A</v>
      </c>
      <c r="Y22" t="e">
        <f t="shared" si="27"/>
        <v>#N/A</v>
      </c>
      <c r="Z22" t="e">
        <f t="shared" si="28"/>
        <v>#N/A</v>
      </c>
      <c r="AA22" t="e">
        <f t="shared" si="29"/>
        <v>#N/A</v>
      </c>
      <c r="AB22" t="e">
        <f t="shared" si="30"/>
        <v>#N/A</v>
      </c>
      <c r="AC22" t="e">
        <f t="shared" si="31"/>
        <v>#N/A</v>
      </c>
      <c r="AD22" t="e">
        <f t="shared" si="32"/>
        <v>#N/A</v>
      </c>
      <c r="AE22" t="e">
        <f t="shared" si="33"/>
        <v>#N/A</v>
      </c>
      <c r="AF22" s="12" t="e">
        <f>R22+COUNTIF($B22:B22,B22)-1</f>
        <v>#N/A</v>
      </c>
      <c r="AG22" s="12" t="e">
        <f>S22+COUNTIF($B22:C22,C22)-1</f>
        <v>#N/A</v>
      </c>
      <c r="AH22" s="12" t="e">
        <f>T22+COUNTIF($B22:D22,D22)-1</f>
        <v>#N/A</v>
      </c>
      <c r="AI22" s="12" t="e">
        <f>U22+COUNTIF($B22:E22,E22)-1</f>
        <v>#N/A</v>
      </c>
      <c r="AJ22" s="12" t="e">
        <f>V22+COUNTIF($B22:F22,F22)-1</f>
        <v>#N/A</v>
      </c>
      <c r="AK22" s="12" t="e">
        <f>W22+COUNTIF($B22:G22,G22)-1</f>
        <v>#N/A</v>
      </c>
      <c r="AL22" s="12" t="e">
        <f>X22+COUNTIF($B22:H22,H22)-1</f>
        <v>#N/A</v>
      </c>
      <c r="AM22" s="12" t="e">
        <f>Y22+COUNTIF($B22:I22,I22)-1</f>
        <v>#N/A</v>
      </c>
      <c r="AN22" s="12" t="e">
        <f>Z22+COUNTIF($B22:J22,J22)-1</f>
        <v>#N/A</v>
      </c>
      <c r="AO22" s="12" t="e">
        <f>AA22+COUNTIF($B22:K22,K22)-1</f>
        <v>#N/A</v>
      </c>
      <c r="AP22" s="12" t="e">
        <f>AB22+COUNTIF($B22:L22,L22)-1</f>
        <v>#N/A</v>
      </c>
      <c r="AQ22" s="12" t="e">
        <f>AC22+COUNTIF($B22:M22,M22)-1</f>
        <v>#N/A</v>
      </c>
      <c r="AR22" s="12" t="e">
        <f>AD22+COUNTIF($B22:N22,N22)-1</f>
        <v>#N/A</v>
      </c>
      <c r="AS22" s="12" t="e">
        <f>AE22+COUNTIF($B22:O22,O22)-1</f>
        <v>#N/A</v>
      </c>
      <c r="AT22" s="14">
        <f t="shared" si="6"/>
        <v>0</v>
      </c>
      <c r="AU22" s="11" t="e">
        <f t="shared" si="7"/>
        <v>#N/A</v>
      </c>
      <c r="AV22" s="15" t="e">
        <f t="shared" si="8"/>
        <v>#N/A</v>
      </c>
      <c r="AW22" s="11" t="e">
        <f t="shared" si="9"/>
        <v>#N/A</v>
      </c>
      <c r="AX22" s="15" t="e">
        <f t="shared" si="10"/>
        <v>#N/A</v>
      </c>
      <c r="AY22" s="11" t="e">
        <f t="shared" si="11"/>
        <v>#N/A</v>
      </c>
      <c r="AZ22" s="15" t="e">
        <f t="shared" si="12"/>
        <v>#N/A</v>
      </c>
      <c r="BA22" s="11" t="e">
        <f t="shared" si="13"/>
        <v>#N/A</v>
      </c>
      <c r="BB22" s="15" t="e">
        <f t="shared" si="14"/>
        <v>#N/A</v>
      </c>
      <c r="BC22" s="11" t="e">
        <f t="shared" si="15"/>
        <v>#N/A</v>
      </c>
      <c r="BD22" s="15" t="e">
        <f t="shared" si="16"/>
        <v>#N/A</v>
      </c>
      <c r="BE22" s="11" t="e">
        <f t="shared" si="17"/>
        <v>#N/A</v>
      </c>
      <c r="BF22" s="15" t="e">
        <f t="shared" si="18"/>
        <v>#N/A</v>
      </c>
    </row>
    <row r="23" spans="17:58">
      <c r="Q23">
        <f t="shared" si="19"/>
        <v>0</v>
      </c>
      <c r="R23" t="e">
        <f t="shared" si="20"/>
        <v>#N/A</v>
      </c>
      <c r="S23" t="e">
        <f t="shared" si="21"/>
        <v>#N/A</v>
      </c>
      <c r="T23" t="e">
        <f t="shared" si="22"/>
        <v>#N/A</v>
      </c>
      <c r="U23" t="e">
        <f t="shared" si="23"/>
        <v>#N/A</v>
      </c>
      <c r="V23" t="e">
        <f t="shared" si="24"/>
        <v>#N/A</v>
      </c>
      <c r="W23" t="e">
        <f t="shared" si="25"/>
        <v>#N/A</v>
      </c>
      <c r="X23" t="e">
        <f t="shared" si="26"/>
        <v>#N/A</v>
      </c>
      <c r="Y23" t="e">
        <f t="shared" si="27"/>
        <v>#N/A</v>
      </c>
      <c r="Z23" t="e">
        <f t="shared" si="28"/>
        <v>#N/A</v>
      </c>
      <c r="AA23" t="e">
        <f t="shared" si="29"/>
        <v>#N/A</v>
      </c>
      <c r="AB23" t="e">
        <f t="shared" si="30"/>
        <v>#N/A</v>
      </c>
      <c r="AC23" t="e">
        <f t="shared" si="31"/>
        <v>#N/A</v>
      </c>
      <c r="AD23" t="e">
        <f t="shared" si="32"/>
        <v>#N/A</v>
      </c>
      <c r="AE23" t="e">
        <f t="shared" si="33"/>
        <v>#N/A</v>
      </c>
      <c r="AF23" s="12" t="e">
        <f>R23+COUNTIF($B23:B23,B23)-1</f>
        <v>#N/A</v>
      </c>
      <c r="AG23" s="12" t="e">
        <f>S23+COUNTIF($B23:C23,C23)-1</f>
        <v>#N/A</v>
      </c>
      <c r="AH23" s="12" t="e">
        <f>T23+COUNTIF($B23:D23,D23)-1</f>
        <v>#N/A</v>
      </c>
      <c r="AI23" s="12" t="e">
        <f>U23+COUNTIF($B23:E23,E23)-1</f>
        <v>#N/A</v>
      </c>
      <c r="AJ23" s="12" t="e">
        <f>V23+COUNTIF($B23:F23,F23)-1</f>
        <v>#N/A</v>
      </c>
      <c r="AK23" s="12" t="e">
        <f>W23+COUNTIF($B23:G23,G23)-1</f>
        <v>#N/A</v>
      </c>
      <c r="AL23" s="12" t="e">
        <f>X23+COUNTIF($B23:H23,H23)-1</f>
        <v>#N/A</v>
      </c>
      <c r="AM23" s="12" t="e">
        <f>Y23+COUNTIF($B23:I23,I23)-1</f>
        <v>#N/A</v>
      </c>
      <c r="AN23" s="12" t="e">
        <f>Z23+COUNTIF($B23:J23,J23)-1</f>
        <v>#N/A</v>
      </c>
      <c r="AO23" s="12" t="e">
        <f>AA23+COUNTIF($B23:K23,K23)-1</f>
        <v>#N/A</v>
      </c>
      <c r="AP23" s="12" t="e">
        <f>AB23+COUNTIF($B23:L23,L23)-1</f>
        <v>#N/A</v>
      </c>
      <c r="AQ23" s="12" t="e">
        <f>AC23+COUNTIF($B23:M23,M23)-1</f>
        <v>#N/A</v>
      </c>
      <c r="AR23" s="12" t="e">
        <f>AD23+COUNTIF($B23:N23,N23)-1</f>
        <v>#N/A</v>
      </c>
      <c r="AS23" s="12" t="e">
        <f>AE23+COUNTIF($B23:O23,O23)-1</f>
        <v>#N/A</v>
      </c>
      <c r="AT23" s="14">
        <f t="shared" si="6"/>
        <v>0</v>
      </c>
      <c r="AU23" s="11" t="e">
        <f t="shared" si="7"/>
        <v>#N/A</v>
      </c>
      <c r="AV23" s="15" t="e">
        <f t="shared" si="8"/>
        <v>#N/A</v>
      </c>
      <c r="AW23" s="11" t="e">
        <f t="shared" si="9"/>
        <v>#N/A</v>
      </c>
      <c r="AX23" s="15" t="e">
        <f t="shared" si="10"/>
        <v>#N/A</v>
      </c>
      <c r="AY23" s="11" t="e">
        <f t="shared" si="11"/>
        <v>#N/A</v>
      </c>
      <c r="AZ23" s="15" t="e">
        <f t="shared" si="12"/>
        <v>#N/A</v>
      </c>
      <c r="BA23" s="11" t="e">
        <f t="shared" si="13"/>
        <v>#N/A</v>
      </c>
      <c r="BB23" s="15" t="e">
        <f t="shared" si="14"/>
        <v>#N/A</v>
      </c>
      <c r="BC23" s="11" t="e">
        <f t="shared" si="15"/>
        <v>#N/A</v>
      </c>
      <c r="BD23" s="15" t="e">
        <f t="shared" si="16"/>
        <v>#N/A</v>
      </c>
      <c r="BE23" s="11" t="e">
        <f t="shared" si="17"/>
        <v>#N/A</v>
      </c>
      <c r="BF23" s="15" t="e">
        <f t="shared" si="18"/>
        <v>#N/A</v>
      </c>
    </row>
    <row r="24" spans="17:58">
      <c r="Q24">
        <f t="shared" si="19"/>
        <v>0</v>
      </c>
      <c r="R24" t="e">
        <f t="shared" si="20"/>
        <v>#N/A</v>
      </c>
      <c r="S24" t="e">
        <f t="shared" si="21"/>
        <v>#N/A</v>
      </c>
      <c r="T24" t="e">
        <f t="shared" si="22"/>
        <v>#N/A</v>
      </c>
      <c r="U24" t="e">
        <f t="shared" si="23"/>
        <v>#N/A</v>
      </c>
      <c r="V24" t="e">
        <f t="shared" si="24"/>
        <v>#N/A</v>
      </c>
      <c r="W24" t="e">
        <f t="shared" si="25"/>
        <v>#N/A</v>
      </c>
      <c r="X24" t="e">
        <f t="shared" si="26"/>
        <v>#N/A</v>
      </c>
      <c r="Y24" t="e">
        <f t="shared" si="27"/>
        <v>#N/A</v>
      </c>
      <c r="Z24" t="e">
        <f t="shared" si="28"/>
        <v>#N/A</v>
      </c>
      <c r="AA24" t="e">
        <f t="shared" si="29"/>
        <v>#N/A</v>
      </c>
      <c r="AB24" t="e">
        <f t="shared" si="30"/>
        <v>#N/A</v>
      </c>
      <c r="AC24" t="e">
        <f t="shared" si="31"/>
        <v>#N/A</v>
      </c>
      <c r="AD24" t="e">
        <f t="shared" si="32"/>
        <v>#N/A</v>
      </c>
      <c r="AE24" t="e">
        <f t="shared" si="33"/>
        <v>#N/A</v>
      </c>
      <c r="AF24" s="12" t="e">
        <f>R24+COUNTIF($B24:B24,B24)-1</f>
        <v>#N/A</v>
      </c>
      <c r="AG24" s="12" t="e">
        <f>S24+COUNTIF($B24:C24,C24)-1</f>
        <v>#N/A</v>
      </c>
      <c r="AH24" s="12" t="e">
        <f>T24+COUNTIF($B24:D24,D24)-1</f>
        <v>#N/A</v>
      </c>
      <c r="AI24" s="12" t="e">
        <f>U24+COUNTIF($B24:E24,E24)-1</f>
        <v>#N/A</v>
      </c>
      <c r="AJ24" s="12" t="e">
        <f>V24+COUNTIF($B24:F24,F24)-1</f>
        <v>#N/A</v>
      </c>
      <c r="AK24" s="12" t="e">
        <f>W24+COUNTIF($B24:G24,G24)-1</f>
        <v>#N/A</v>
      </c>
      <c r="AL24" s="12" t="e">
        <f>X24+COUNTIF($B24:H24,H24)-1</f>
        <v>#N/A</v>
      </c>
      <c r="AM24" s="12" t="e">
        <f>Y24+COUNTIF($B24:I24,I24)-1</f>
        <v>#N/A</v>
      </c>
      <c r="AN24" s="12" t="e">
        <f>Z24+COUNTIF($B24:J24,J24)-1</f>
        <v>#N/A</v>
      </c>
      <c r="AO24" s="12" t="e">
        <f>AA24+COUNTIF($B24:K24,K24)-1</f>
        <v>#N/A</v>
      </c>
      <c r="AP24" s="12" t="e">
        <f>AB24+COUNTIF($B24:L24,L24)-1</f>
        <v>#N/A</v>
      </c>
      <c r="AQ24" s="12" t="e">
        <f>AC24+COUNTIF($B24:M24,M24)-1</f>
        <v>#N/A</v>
      </c>
      <c r="AR24" s="12" t="e">
        <f>AD24+COUNTIF($B24:N24,N24)-1</f>
        <v>#N/A</v>
      </c>
      <c r="AS24" s="12" t="e">
        <f>AE24+COUNTIF($B24:O24,O24)-1</f>
        <v>#N/A</v>
      </c>
      <c r="AT24" s="14">
        <f t="shared" si="6"/>
        <v>0</v>
      </c>
      <c r="AU24" s="11" t="e">
        <f t="shared" si="7"/>
        <v>#N/A</v>
      </c>
      <c r="AV24" s="15" t="e">
        <f t="shared" si="8"/>
        <v>#N/A</v>
      </c>
      <c r="AW24" s="11" t="e">
        <f t="shared" si="9"/>
        <v>#N/A</v>
      </c>
      <c r="AX24" s="15" t="e">
        <f t="shared" si="10"/>
        <v>#N/A</v>
      </c>
      <c r="AY24" s="11" t="e">
        <f t="shared" si="11"/>
        <v>#N/A</v>
      </c>
      <c r="AZ24" s="15" t="e">
        <f t="shared" si="12"/>
        <v>#N/A</v>
      </c>
      <c r="BA24" s="11" t="e">
        <f t="shared" si="13"/>
        <v>#N/A</v>
      </c>
      <c r="BB24" s="15" t="e">
        <f t="shared" si="14"/>
        <v>#N/A</v>
      </c>
      <c r="BC24" s="11" t="e">
        <f t="shared" si="15"/>
        <v>#N/A</v>
      </c>
      <c r="BD24" s="15" t="e">
        <f t="shared" si="16"/>
        <v>#N/A</v>
      </c>
      <c r="BE24" s="11" t="e">
        <f t="shared" si="17"/>
        <v>#N/A</v>
      </c>
      <c r="BF24" s="15" t="e">
        <f t="shared" si="18"/>
        <v>#N/A</v>
      </c>
    </row>
    <row r="25" spans="17:58">
      <c r="Q25">
        <f t="shared" si="19"/>
        <v>0</v>
      </c>
      <c r="R25" t="e">
        <f t="shared" si="20"/>
        <v>#N/A</v>
      </c>
      <c r="S25" t="e">
        <f t="shared" si="21"/>
        <v>#N/A</v>
      </c>
      <c r="T25" t="e">
        <f t="shared" si="22"/>
        <v>#N/A</v>
      </c>
      <c r="U25" t="e">
        <f t="shared" si="23"/>
        <v>#N/A</v>
      </c>
      <c r="V25" t="e">
        <f t="shared" si="24"/>
        <v>#N/A</v>
      </c>
      <c r="W25" t="e">
        <f t="shared" si="25"/>
        <v>#N/A</v>
      </c>
      <c r="X25" t="e">
        <f t="shared" si="26"/>
        <v>#N/A</v>
      </c>
      <c r="Y25" t="e">
        <f t="shared" si="27"/>
        <v>#N/A</v>
      </c>
      <c r="Z25" t="e">
        <f t="shared" si="28"/>
        <v>#N/A</v>
      </c>
      <c r="AA25" t="e">
        <f t="shared" si="29"/>
        <v>#N/A</v>
      </c>
      <c r="AB25" t="e">
        <f t="shared" si="30"/>
        <v>#N/A</v>
      </c>
      <c r="AC25" t="e">
        <f t="shared" si="31"/>
        <v>#N/A</v>
      </c>
      <c r="AD25" t="e">
        <f t="shared" si="32"/>
        <v>#N/A</v>
      </c>
      <c r="AE25" t="e">
        <f t="shared" si="33"/>
        <v>#N/A</v>
      </c>
      <c r="AF25" s="12" t="e">
        <f>R25+COUNTIF($B25:B25,B25)-1</f>
        <v>#N/A</v>
      </c>
      <c r="AG25" s="12" t="e">
        <f>S25+COUNTIF($B25:C25,C25)-1</f>
        <v>#N/A</v>
      </c>
      <c r="AH25" s="12" t="e">
        <f>T25+COUNTIF($B25:D25,D25)-1</f>
        <v>#N/A</v>
      </c>
      <c r="AI25" s="12" t="e">
        <f>U25+COUNTIF($B25:E25,E25)-1</f>
        <v>#N/A</v>
      </c>
      <c r="AJ25" s="12" t="e">
        <f>V25+COUNTIF($B25:F25,F25)-1</f>
        <v>#N/A</v>
      </c>
      <c r="AK25" s="12" t="e">
        <f>W25+COUNTIF($B25:G25,G25)-1</f>
        <v>#N/A</v>
      </c>
      <c r="AL25" s="12" t="e">
        <f>X25+COUNTIF($B25:H25,H25)-1</f>
        <v>#N/A</v>
      </c>
      <c r="AM25" s="12" t="e">
        <f>Y25+COUNTIF($B25:I25,I25)-1</f>
        <v>#N/A</v>
      </c>
      <c r="AN25" s="12" t="e">
        <f>Z25+COUNTIF($B25:J25,J25)-1</f>
        <v>#N/A</v>
      </c>
      <c r="AO25" s="12" t="e">
        <f>AA25+COUNTIF($B25:K25,K25)-1</f>
        <v>#N/A</v>
      </c>
      <c r="AP25" s="12" t="e">
        <f>AB25+COUNTIF($B25:L25,L25)-1</f>
        <v>#N/A</v>
      </c>
      <c r="AQ25" s="12" t="e">
        <f>AC25+COUNTIF($B25:M25,M25)-1</f>
        <v>#N/A</v>
      </c>
      <c r="AR25" s="12" t="e">
        <f>AD25+COUNTIF($B25:N25,N25)-1</f>
        <v>#N/A</v>
      </c>
      <c r="AS25" s="12" t="e">
        <f>AE25+COUNTIF($B25:O25,O25)-1</f>
        <v>#N/A</v>
      </c>
      <c r="AT25" s="14">
        <f t="shared" si="6"/>
        <v>0</v>
      </c>
      <c r="AU25" s="11" t="e">
        <f t="shared" si="7"/>
        <v>#N/A</v>
      </c>
      <c r="AV25" s="15" t="e">
        <f t="shared" si="8"/>
        <v>#N/A</v>
      </c>
      <c r="AW25" s="11" t="e">
        <f t="shared" si="9"/>
        <v>#N/A</v>
      </c>
      <c r="AX25" s="15" t="e">
        <f t="shared" si="10"/>
        <v>#N/A</v>
      </c>
      <c r="AY25" s="11" t="e">
        <f t="shared" si="11"/>
        <v>#N/A</v>
      </c>
      <c r="AZ25" s="15" t="e">
        <f t="shared" si="12"/>
        <v>#N/A</v>
      </c>
      <c r="BA25" s="11" t="e">
        <f t="shared" si="13"/>
        <v>#N/A</v>
      </c>
      <c r="BB25" s="15" t="e">
        <f t="shared" si="14"/>
        <v>#N/A</v>
      </c>
      <c r="BC25" s="11" t="e">
        <f t="shared" si="15"/>
        <v>#N/A</v>
      </c>
      <c r="BD25" s="15" t="e">
        <f t="shared" si="16"/>
        <v>#N/A</v>
      </c>
      <c r="BE25" s="11" t="e">
        <f t="shared" si="17"/>
        <v>#N/A</v>
      </c>
      <c r="BF25" s="15" t="e">
        <f t="shared" si="18"/>
        <v>#N/A</v>
      </c>
    </row>
    <row r="26" spans="17:58">
      <c r="Q26">
        <f t="shared" si="19"/>
        <v>0</v>
      </c>
      <c r="R26" t="e">
        <f t="shared" si="20"/>
        <v>#N/A</v>
      </c>
      <c r="S26" t="e">
        <f t="shared" si="21"/>
        <v>#N/A</v>
      </c>
      <c r="T26" t="e">
        <f t="shared" si="22"/>
        <v>#N/A</v>
      </c>
      <c r="U26" t="e">
        <f t="shared" si="23"/>
        <v>#N/A</v>
      </c>
      <c r="V26" t="e">
        <f t="shared" si="24"/>
        <v>#N/A</v>
      </c>
      <c r="W26" t="e">
        <f t="shared" si="25"/>
        <v>#N/A</v>
      </c>
      <c r="X26" t="e">
        <f t="shared" si="26"/>
        <v>#N/A</v>
      </c>
      <c r="Y26" t="e">
        <f t="shared" si="27"/>
        <v>#N/A</v>
      </c>
      <c r="Z26" t="e">
        <f t="shared" si="28"/>
        <v>#N/A</v>
      </c>
      <c r="AA26" t="e">
        <f t="shared" si="29"/>
        <v>#N/A</v>
      </c>
      <c r="AB26" t="e">
        <f t="shared" si="30"/>
        <v>#N/A</v>
      </c>
      <c r="AC26" t="e">
        <f t="shared" si="31"/>
        <v>#N/A</v>
      </c>
      <c r="AD26" t="e">
        <f t="shared" si="32"/>
        <v>#N/A</v>
      </c>
      <c r="AE26" t="e">
        <f t="shared" si="33"/>
        <v>#N/A</v>
      </c>
      <c r="AF26" s="12" t="e">
        <f>R26+COUNTIF($B26:B26,B26)-1</f>
        <v>#N/A</v>
      </c>
      <c r="AG26" s="12" t="e">
        <f>S26+COUNTIF($B26:C26,C26)-1</f>
        <v>#N/A</v>
      </c>
      <c r="AH26" s="12" t="e">
        <f>T26+COUNTIF($B26:D26,D26)-1</f>
        <v>#N/A</v>
      </c>
      <c r="AI26" s="12" t="e">
        <f>U26+COUNTIF($B26:E26,E26)-1</f>
        <v>#N/A</v>
      </c>
      <c r="AJ26" s="12" t="e">
        <f>V26+COUNTIF($B26:F26,F26)-1</f>
        <v>#N/A</v>
      </c>
      <c r="AK26" s="12" t="e">
        <f>W26+COUNTIF($B26:G26,G26)-1</f>
        <v>#N/A</v>
      </c>
      <c r="AL26" s="12" t="e">
        <f>X26+COUNTIF($B26:H26,H26)-1</f>
        <v>#N/A</v>
      </c>
      <c r="AM26" s="12" t="e">
        <f>Y26+COUNTIF($B26:I26,I26)-1</f>
        <v>#N/A</v>
      </c>
      <c r="AN26" s="12" t="e">
        <f>Z26+COUNTIF($B26:J26,J26)-1</f>
        <v>#N/A</v>
      </c>
      <c r="AO26" s="12" t="e">
        <f>AA26+COUNTIF($B26:K26,K26)-1</f>
        <v>#N/A</v>
      </c>
      <c r="AP26" s="12" t="e">
        <f>AB26+COUNTIF($B26:L26,L26)-1</f>
        <v>#N/A</v>
      </c>
      <c r="AQ26" s="12" t="e">
        <f>AC26+COUNTIF($B26:M26,M26)-1</f>
        <v>#N/A</v>
      </c>
      <c r="AR26" s="12" t="e">
        <f>AD26+COUNTIF($B26:N26,N26)-1</f>
        <v>#N/A</v>
      </c>
      <c r="AS26" s="12" t="e">
        <f>AE26+COUNTIF($B26:O26,O26)-1</f>
        <v>#N/A</v>
      </c>
      <c r="AT26" s="14">
        <f t="shared" si="6"/>
        <v>0</v>
      </c>
      <c r="AU26" s="11" t="e">
        <f t="shared" si="7"/>
        <v>#N/A</v>
      </c>
      <c r="AV26" s="15" t="e">
        <f t="shared" si="8"/>
        <v>#N/A</v>
      </c>
      <c r="AW26" s="11" t="e">
        <f t="shared" si="9"/>
        <v>#N/A</v>
      </c>
      <c r="AX26" s="15" t="e">
        <f t="shared" si="10"/>
        <v>#N/A</v>
      </c>
      <c r="AY26" s="11" t="e">
        <f t="shared" si="11"/>
        <v>#N/A</v>
      </c>
      <c r="AZ26" s="15" t="e">
        <f t="shared" si="12"/>
        <v>#N/A</v>
      </c>
      <c r="BA26" s="11" t="e">
        <f t="shared" si="13"/>
        <v>#N/A</v>
      </c>
      <c r="BB26" s="15" t="e">
        <f t="shared" si="14"/>
        <v>#N/A</v>
      </c>
      <c r="BC26" s="11" t="e">
        <f t="shared" si="15"/>
        <v>#N/A</v>
      </c>
      <c r="BD26" s="15" t="e">
        <f t="shared" si="16"/>
        <v>#N/A</v>
      </c>
      <c r="BE26" s="11" t="e">
        <f t="shared" si="17"/>
        <v>#N/A</v>
      </c>
      <c r="BF26" s="15" t="e">
        <f t="shared" si="18"/>
        <v>#N/A</v>
      </c>
    </row>
    <row r="27" spans="17:58">
      <c r="Q27">
        <f t="shared" si="19"/>
        <v>0</v>
      </c>
      <c r="R27" t="e">
        <f t="shared" si="20"/>
        <v>#N/A</v>
      </c>
      <c r="S27" t="e">
        <f t="shared" si="21"/>
        <v>#N/A</v>
      </c>
      <c r="T27" t="e">
        <f t="shared" si="22"/>
        <v>#N/A</v>
      </c>
      <c r="U27" t="e">
        <f t="shared" si="23"/>
        <v>#N/A</v>
      </c>
      <c r="V27" t="e">
        <f t="shared" si="24"/>
        <v>#N/A</v>
      </c>
      <c r="W27" t="e">
        <f t="shared" si="25"/>
        <v>#N/A</v>
      </c>
      <c r="X27" t="e">
        <f t="shared" si="26"/>
        <v>#N/A</v>
      </c>
      <c r="Y27" t="e">
        <f t="shared" si="27"/>
        <v>#N/A</v>
      </c>
      <c r="Z27" t="e">
        <f t="shared" si="28"/>
        <v>#N/A</v>
      </c>
      <c r="AA27" t="e">
        <f t="shared" si="29"/>
        <v>#N/A</v>
      </c>
      <c r="AB27" t="e">
        <f t="shared" si="30"/>
        <v>#N/A</v>
      </c>
      <c r="AC27" t="e">
        <f t="shared" si="31"/>
        <v>#N/A</v>
      </c>
      <c r="AD27" t="e">
        <f t="shared" si="32"/>
        <v>#N/A</v>
      </c>
      <c r="AE27" t="e">
        <f t="shared" si="33"/>
        <v>#N/A</v>
      </c>
      <c r="AF27" s="12" t="e">
        <f>R27+COUNTIF($B27:B27,B27)-1</f>
        <v>#N/A</v>
      </c>
      <c r="AG27" s="12" t="e">
        <f>S27+COUNTIF($B27:C27,C27)-1</f>
        <v>#N/A</v>
      </c>
      <c r="AH27" s="12" t="e">
        <f>T27+COUNTIF($B27:D27,D27)-1</f>
        <v>#N/A</v>
      </c>
      <c r="AI27" s="12" t="e">
        <f>U27+COUNTIF($B27:E27,E27)-1</f>
        <v>#N/A</v>
      </c>
      <c r="AJ27" s="12" t="e">
        <f>V27+COUNTIF($B27:F27,F27)-1</f>
        <v>#N/A</v>
      </c>
      <c r="AK27" s="12" t="e">
        <f>W27+COUNTIF($B27:G27,G27)-1</f>
        <v>#N/A</v>
      </c>
      <c r="AL27" s="12" t="e">
        <f>X27+COUNTIF($B27:H27,H27)-1</f>
        <v>#N/A</v>
      </c>
      <c r="AM27" s="12" t="e">
        <f>Y27+COUNTIF($B27:I27,I27)-1</f>
        <v>#N/A</v>
      </c>
      <c r="AN27" s="12" t="e">
        <f>Z27+COUNTIF($B27:J27,J27)-1</f>
        <v>#N/A</v>
      </c>
      <c r="AO27" s="12" t="e">
        <f>AA27+COUNTIF($B27:K27,K27)-1</f>
        <v>#N/A</v>
      </c>
      <c r="AP27" s="12" t="e">
        <f>AB27+COUNTIF($B27:L27,L27)-1</f>
        <v>#N/A</v>
      </c>
      <c r="AQ27" s="12" t="e">
        <f>AC27+COUNTIF($B27:M27,M27)-1</f>
        <v>#N/A</v>
      </c>
      <c r="AR27" s="12" t="e">
        <f>AD27+COUNTIF($B27:N27,N27)-1</f>
        <v>#N/A</v>
      </c>
      <c r="AS27" s="12" t="e">
        <f>AE27+COUNTIF($B27:O27,O27)-1</f>
        <v>#N/A</v>
      </c>
      <c r="AT27" s="14">
        <f t="shared" si="6"/>
        <v>0</v>
      </c>
      <c r="AU27" s="11" t="e">
        <f t="shared" si="7"/>
        <v>#N/A</v>
      </c>
      <c r="AV27" s="15" t="e">
        <f t="shared" si="8"/>
        <v>#N/A</v>
      </c>
      <c r="AW27" s="11" t="e">
        <f t="shared" si="9"/>
        <v>#N/A</v>
      </c>
      <c r="AX27" s="15" t="e">
        <f t="shared" si="10"/>
        <v>#N/A</v>
      </c>
      <c r="AY27" s="11" t="e">
        <f t="shared" si="11"/>
        <v>#N/A</v>
      </c>
      <c r="AZ27" s="15" t="e">
        <f t="shared" si="12"/>
        <v>#N/A</v>
      </c>
      <c r="BA27" s="11" t="e">
        <f t="shared" si="13"/>
        <v>#N/A</v>
      </c>
      <c r="BB27" s="15" t="e">
        <f t="shared" si="14"/>
        <v>#N/A</v>
      </c>
      <c r="BC27" s="11" t="e">
        <f t="shared" si="15"/>
        <v>#N/A</v>
      </c>
      <c r="BD27" s="15" t="e">
        <f t="shared" si="16"/>
        <v>#N/A</v>
      </c>
      <c r="BE27" s="11" t="e">
        <f t="shared" si="17"/>
        <v>#N/A</v>
      </c>
      <c r="BF27" s="15" t="e">
        <f t="shared" si="18"/>
        <v>#N/A</v>
      </c>
    </row>
    <row r="28" spans="17:58">
      <c r="Q28">
        <f t="shared" si="19"/>
        <v>0</v>
      </c>
      <c r="R28" t="e">
        <f t="shared" si="20"/>
        <v>#N/A</v>
      </c>
      <c r="S28" t="e">
        <f t="shared" si="21"/>
        <v>#N/A</v>
      </c>
      <c r="T28" t="e">
        <f t="shared" si="22"/>
        <v>#N/A</v>
      </c>
      <c r="U28" t="e">
        <f t="shared" si="23"/>
        <v>#N/A</v>
      </c>
      <c r="V28" t="e">
        <f t="shared" si="24"/>
        <v>#N/A</v>
      </c>
      <c r="W28" t="e">
        <f t="shared" si="25"/>
        <v>#N/A</v>
      </c>
      <c r="X28" t="e">
        <f t="shared" si="26"/>
        <v>#N/A</v>
      </c>
      <c r="Y28" t="e">
        <f t="shared" si="27"/>
        <v>#N/A</v>
      </c>
      <c r="Z28" t="e">
        <f t="shared" si="28"/>
        <v>#N/A</v>
      </c>
      <c r="AA28" t="e">
        <f t="shared" si="29"/>
        <v>#N/A</v>
      </c>
      <c r="AB28" t="e">
        <f t="shared" si="30"/>
        <v>#N/A</v>
      </c>
      <c r="AC28" t="e">
        <f t="shared" si="31"/>
        <v>#N/A</v>
      </c>
      <c r="AD28" t="e">
        <f t="shared" si="32"/>
        <v>#N/A</v>
      </c>
      <c r="AE28" t="e">
        <f t="shared" si="33"/>
        <v>#N/A</v>
      </c>
      <c r="AF28" s="12" t="e">
        <f>R28+COUNTIF($B28:B28,B28)-1</f>
        <v>#N/A</v>
      </c>
      <c r="AG28" s="12" t="e">
        <f>S28+COUNTIF($B28:C28,C28)-1</f>
        <v>#N/A</v>
      </c>
      <c r="AH28" s="12" t="e">
        <f>T28+COUNTIF($B28:D28,D28)-1</f>
        <v>#N/A</v>
      </c>
      <c r="AI28" s="12" t="e">
        <f>U28+COUNTIF($B28:E28,E28)-1</f>
        <v>#N/A</v>
      </c>
      <c r="AJ28" s="12" t="e">
        <f>V28+COUNTIF($B28:F28,F28)-1</f>
        <v>#N/A</v>
      </c>
      <c r="AK28" s="12" t="e">
        <f>W28+COUNTIF($B28:G28,G28)-1</f>
        <v>#N/A</v>
      </c>
      <c r="AL28" s="12" t="e">
        <f>X28+COUNTIF($B28:H28,H28)-1</f>
        <v>#N/A</v>
      </c>
      <c r="AM28" s="12" t="e">
        <f>Y28+COUNTIF($B28:I28,I28)-1</f>
        <v>#N/A</v>
      </c>
      <c r="AN28" s="12" t="e">
        <f>Z28+COUNTIF($B28:J28,J28)-1</f>
        <v>#N/A</v>
      </c>
      <c r="AO28" s="12" t="e">
        <f>AA28+COUNTIF($B28:K28,K28)-1</f>
        <v>#N/A</v>
      </c>
      <c r="AP28" s="12" t="e">
        <f>AB28+COUNTIF($B28:L28,L28)-1</f>
        <v>#N/A</v>
      </c>
      <c r="AQ28" s="12" t="e">
        <f>AC28+COUNTIF($B28:M28,M28)-1</f>
        <v>#N/A</v>
      </c>
      <c r="AR28" s="12" t="e">
        <f>AD28+COUNTIF($B28:N28,N28)-1</f>
        <v>#N/A</v>
      </c>
      <c r="AS28" s="12" t="e">
        <f>AE28+COUNTIF($B28:O28,O28)-1</f>
        <v>#N/A</v>
      </c>
      <c r="AT28" s="14">
        <f t="shared" si="6"/>
        <v>0</v>
      </c>
      <c r="AU28" s="11" t="e">
        <f t="shared" si="7"/>
        <v>#N/A</v>
      </c>
      <c r="AV28" s="15" t="e">
        <f t="shared" si="8"/>
        <v>#N/A</v>
      </c>
      <c r="AW28" s="11" t="e">
        <f t="shared" si="9"/>
        <v>#N/A</v>
      </c>
      <c r="AX28" s="15" t="e">
        <f t="shared" si="10"/>
        <v>#N/A</v>
      </c>
      <c r="AY28" s="11" t="e">
        <f t="shared" si="11"/>
        <v>#N/A</v>
      </c>
      <c r="AZ28" s="15" t="e">
        <f t="shared" si="12"/>
        <v>#N/A</v>
      </c>
      <c r="BA28" s="11" t="e">
        <f t="shared" si="13"/>
        <v>#N/A</v>
      </c>
      <c r="BB28" s="15" t="e">
        <f t="shared" si="14"/>
        <v>#N/A</v>
      </c>
      <c r="BC28" s="11" t="e">
        <f t="shared" si="15"/>
        <v>#N/A</v>
      </c>
      <c r="BD28" s="15" t="e">
        <f t="shared" si="16"/>
        <v>#N/A</v>
      </c>
      <c r="BE28" s="11" t="e">
        <f t="shared" si="17"/>
        <v>#N/A</v>
      </c>
      <c r="BF28" s="15" t="e">
        <f t="shared" si="18"/>
        <v>#N/A</v>
      </c>
    </row>
    <row r="29" spans="17:58">
      <c r="Q29">
        <f t="shared" si="19"/>
        <v>0</v>
      </c>
      <c r="R29" t="e">
        <f t="shared" si="20"/>
        <v>#N/A</v>
      </c>
      <c r="S29" t="e">
        <f t="shared" si="21"/>
        <v>#N/A</v>
      </c>
      <c r="T29" t="e">
        <f t="shared" si="22"/>
        <v>#N/A</v>
      </c>
      <c r="U29" t="e">
        <f t="shared" si="23"/>
        <v>#N/A</v>
      </c>
      <c r="V29" t="e">
        <f t="shared" si="24"/>
        <v>#N/A</v>
      </c>
      <c r="W29" t="e">
        <f t="shared" si="25"/>
        <v>#N/A</v>
      </c>
      <c r="X29" t="e">
        <f t="shared" si="26"/>
        <v>#N/A</v>
      </c>
      <c r="Y29" t="e">
        <f t="shared" si="27"/>
        <v>#N/A</v>
      </c>
      <c r="Z29" t="e">
        <f t="shared" si="28"/>
        <v>#N/A</v>
      </c>
      <c r="AA29" t="e">
        <f t="shared" si="29"/>
        <v>#N/A</v>
      </c>
      <c r="AB29" t="e">
        <f t="shared" si="30"/>
        <v>#N/A</v>
      </c>
      <c r="AC29" t="e">
        <f t="shared" si="31"/>
        <v>#N/A</v>
      </c>
      <c r="AD29" t="e">
        <f t="shared" si="32"/>
        <v>#N/A</v>
      </c>
      <c r="AE29" t="e">
        <f t="shared" si="33"/>
        <v>#N/A</v>
      </c>
      <c r="AF29" s="12" t="e">
        <f>R29+COUNTIF($B29:B29,B29)-1</f>
        <v>#N/A</v>
      </c>
      <c r="AG29" s="12" t="e">
        <f>S29+COUNTIF($B29:C29,C29)-1</f>
        <v>#N/A</v>
      </c>
      <c r="AH29" s="12" t="e">
        <f>T29+COUNTIF($B29:D29,D29)-1</f>
        <v>#N/A</v>
      </c>
      <c r="AI29" s="12" t="e">
        <f>U29+COUNTIF($B29:E29,E29)-1</f>
        <v>#N/A</v>
      </c>
      <c r="AJ29" s="12" t="e">
        <f>V29+COUNTIF($B29:F29,F29)-1</f>
        <v>#N/A</v>
      </c>
      <c r="AK29" s="12" t="e">
        <f>W29+COUNTIF($B29:G29,G29)-1</f>
        <v>#N/A</v>
      </c>
      <c r="AL29" s="12" t="e">
        <f>X29+COUNTIF($B29:H29,H29)-1</f>
        <v>#N/A</v>
      </c>
      <c r="AM29" s="12" t="e">
        <f>Y29+COUNTIF($B29:I29,I29)-1</f>
        <v>#N/A</v>
      </c>
      <c r="AN29" s="12" t="e">
        <f>Z29+COUNTIF($B29:J29,J29)-1</f>
        <v>#N/A</v>
      </c>
      <c r="AO29" s="12" t="e">
        <f>AA29+COUNTIF($B29:K29,K29)-1</f>
        <v>#N/A</v>
      </c>
      <c r="AP29" s="12" t="e">
        <f>AB29+COUNTIF($B29:L29,L29)-1</f>
        <v>#N/A</v>
      </c>
      <c r="AQ29" s="12" t="e">
        <f>AC29+COUNTIF($B29:M29,M29)-1</f>
        <v>#N/A</v>
      </c>
      <c r="AR29" s="12" t="e">
        <f>AD29+COUNTIF($B29:N29,N29)-1</f>
        <v>#N/A</v>
      </c>
      <c r="AS29" s="12" t="e">
        <f>AE29+COUNTIF($B29:O29,O29)-1</f>
        <v>#N/A</v>
      </c>
      <c r="AT29" s="14">
        <f t="shared" si="6"/>
        <v>0</v>
      </c>
      <c r="AU29" s="11" t="e">
        <f t="shared" si="7"/>
        <v>#N/A</v>
      </c>
      <c r="AV29" s="15" t="e">
        <f t="shared" si="8"/>
        <v>#N/A</v>
      </c>
      <c r="AW29" s="11" t="e">
        <f t="shared" si="9"/>
        <v>#N/A</v>
      </c>
      <c r="AX29" s="15" t="e">
        <f t="shared" si="10"/>
        <v>#N/A</v>
      </c>
      <c r="AY29" s="11" t="e">
        <f t="shared" si="11"/>
        <v>#N/A</v>
      </c>
      <c r="AZ29" s="15" t="e">
        <f t="shared" si="12"/>
        <v>#N/A</v>
      </c>
      <c r="BA29" s="11" t="e">
        <f t="shared" si="13"/>
        <v>#N/A</v>
      </c>
      <c r="BB29" s="15" t="e">
        <f t="shared" si="14"/>
        <v>#N/A</v>
      </c>
      <c r="BC29" s="11" t="e">
        <f t="shared" si="15"/>
        <v>#N/A</v>
      </c>
      <c r="BD29" s="15" t="e">
        <f t="shared" si="16"/>
        <v>#N/A</v>
      </c>
      <c r="BE29" s="11" t="e">
        <f t="shared" si="17"/>
        <v>#N/A</v>
      </c>
      <c r="BF29" s="15" t="e">
        <f t="shared" si="18"/>
        <v>#N/A</v>
      </c>
    </row>
    <row r="30" spans="17:58">
      <c r="Q30">
        <f t="shared" si="19"/>
        <v>0</v>
      </c>
      <c r="R30" t="e">
        <f t="shared" si="20"/>
        <v>#N/A</v>
      </c>
      <c r="S30" t="e">
        <f t="shared" si="21"/>
        <v>#N/A</v>
      </c>
      <c r="T30" t="e">
        <f t="shared" si="22"/>
        <v>#N/A</v>
      </c>
      <c r="U30" t="e">
        <f t="shared" si="23"/>
        <v>#N/A</v>
      </c>
      <c r="V30" t="e">
        <f t="shared" si="24"/>
        <v>#N/A</v>
      </c>
      <c r="W30" t="e">
        <f t="shared" si="25"/>
        <v>#N/A</v>
      </c>
      <c r="X30" t="e">
        <f t="shared" si="26"/>
        <v>#N/A</v>
      </c>
      <c r="Y30" t="e">
        <f t="shared" si="27"/>
        <v>#N/A</v>
      </c>
      <c r="Z30" t="e">
        <f t="shared" si="28"/>
        <v>#N/A</v>
      </c>
      <c r="AA30" t="e">
        <f t="shared" si="29"/>
        <v>#N/A</v>
      </c>
      <c r="AB30" t="e">
        <f t="shared" si="30"/>
        <v>#N/A</v>
      </c>
      <c r="AC30" t="e">
        <f t="shared" si="31"/>
        <v>#N/A</v>
      </c>
      <c r="AD30" t="e">
        <f t="shared" si="32"/>
        <v>#N/A</v>
      </c>
      <c r="AE30" t="e">
        <f t="shared" si="33"/>
        <v>#N/A</v>
      </c>
      <c r="AF30" s="12" t="e">
        <f>R30+COUNTIF($B30:B30,B30)-1</f>
        <v>#N/A</v>
      </c>
      <c r="AG30" s="12" t="e">
        <f>S30+COUNTIF($B30:C30,C30)-1</f>
        <v>#N/A</v>
      </c>
      <c r="AH30" s="12" t="e">
        <f>T30+COUNTIF($B30:D30,D30)-1</f>
        <v>#N/A</v>
      </c>
      <c r="AI30" s="12" t="e">
        <f>U30+COUNTIF($B30:E30,E30)-1</f>
        <v>#N/A</v>
      </c>
      <c r="AJ30" s="12" t="e">
        <f>V30+COUNTIF($B30:F30,F30)-1</f>
        <v>#N/A</v>
      </c>
      <c r="AK30" s="12" t="e">
        <f>W30+COUNTIF($B30:G30,G30)-1</f>
        <v>#N/A</v>
      </c>
      <c r="AL30" s="12" t="e">
        <f>X30+COUNTIF($B30:H30,H30)-1</f>
        <v>#N/A</v>
      </c>
      <c r="AM30" s="12" t="e">
        <f>Y30+COUNTIF($B30:I30,I30)-1</f>
        <v>#N/A</v>
      </c>
      <c r="AN30" s="12" t="e">
        <f>Z30+COUNTIF($B30:J30,J30)-1</f>
        <v>#N/A</v>
      </c>
      <c r="AO30" s="12" t="e">
        <f>AA30+COUNTIF($B30:K30,K30)-1</f>
        <v>#N/A</v>
      </c>
      <c r="AP30" s="12" t="e">
        <f>AB30+COUNTIF($B30:L30,L30)-1</f>
        <v>#N/A</v>
      </c>
      <c r="AQ30" s="12" t="e">
        <f>AC30+COUNTIF($B30:M30,M30)-1</f>
        <v>#N/A</v>
      </c>
      <c r="AR30" s="12" t="e">
        <f>AD30+COUNTIF($B30:N30,N30)-1</f>
        <v>#N/A</v>
      </c>
      <c r="AS30" s="12" t="e">
        <f>AE30+COUNTIF($B30:O30,O30)-1</f>
        <v>#N/A</v>
      </c>
      <c r="AT30" s="14">
        <f t="shared" si="6"/>
        <v>0</v>
      </c>
      <c r="AU30" s="11" t="e">
        <f t="shared" si="7"/>
        <v>#N/A</v>
      </c>
      <c r="AV30" s="15" t="e">
        <f t="shared" si="8"/>
        <v>#N/A</v>
      </c>
      <c r="AW30" s="11" t="e">
        <f t="shared" si="9"/>
        <v>#N/A</v>
      </c>
      <c r="AX30" s="15" t="e">
        <f t="shared" si="10"/>
        <v>#N/A</v>
      </c>
      <c r="AY30" s="11" t="e">
        <f t="shared" si="11"/>
        <v>#N/A</v>
      </c>
      <c r="AZ30" s="15" t="e">
        <f t="shared" si="12"/>
        <v>#N/A</v>
      </c>
      <c r="BA30" s="11" t="e">
        <f t="shared" si="13"/>
        <v>#N/A</v>
      </c>
      <c r="BB30" s="15" t="e">
        <f t="shared" si="14"/>
        <v>#N/A</v>
      </c>
      <c r="BC30" s="11" t="e">
        <f t="shared" si="15"/>
        <v>#N/A</v>
      </c>
      <c r="BD30" s="15" t="e">
        <f t="shared" si="16"/>
        <v>#N/A</v>
      </c>
      <c r="BE30" s="11" t="e">
        <f t="shared" si="17"/>
        <v>#N/A</v>
      </c>
      <c r="BF30" s="15" t="e">
        <f t="shared" si="18"/>
        <v>#N/A</v>
      </c>
    </row>
    <row r="31" spans="17:58">
      <c r="Q31">
        <f t="shared" si="19"/>
        <v>0</v>
      </c>
      <c r="R31" t="e">
        <f t="shared" si="20"/>
        <v>#N/A</v>
      </c>
      <c r="S31" t="e">
        <f t="shared" si="21"/>
        <v>#N/A</v>
      </c>
      <c r="T31" t="e">
        <f t="shared" si="22"/>
        <v>#N/A</v>
      </c>
      <c r="U31" t="e">
        <f t="shared" si="23"/>
        <v>#N/A</v>
      </c>
      <c r="V31" t="e">
        <f t="shared" si="24"/>
        <v>#N/A</v>
      </c>
      <c r="W31" t="e">
        <f t="shared" si="25"/>
        <v>#N/A</v>
      </c>
      <c r="X31" t="e">
        <f t="shared" si="26"/>
        <v>#N/A</v>
      </c>
      <c r="Y31" t="e">
        <f t="shared" si="27"/>
        <v>#N/A</v>
      </c>
      <c r="Z31" t="e">
        <f t="shared" si="28"/>
        <v>#N/A</v>
      </c>
      <c r="AA31" t="e">
        <f t="shared" si="29"/>
        <v>#N/A</v>
      </c>
      <c r="AB31" t="e">
        <f t="shared" si="30"/>
        <v>#N/A</v>
      </c>
      <c r="AC31" t="e">
        <f t="shared" si="31"/>
        <v>#N/A</v>
      </c>
      <c r="AD31" t="e">
        <f t="shared" si="32"/>
        <v>#N/A</v>
      </c>
      <c r="AE31" t="e">
        <f t="shared" si="33"/>
        <v>#N/A</v>
      </c>
      <c r="AF31" s="12" t="e">
        <f>R31+COUNTIF($B31:B31,B31)-1</f>
        <v>#N/A</v>
      </c>
      <c r="AG31" s="12" t="e">
        <f>S31+COUNTIF($B31:C31,C31)-1</f>
        <v>#N/A</v>
      </c>
      <c r="AH31" s="12" t="e">
        <f>T31+COUNTIF($B31:D31,D31)-1</f>
        <v>#N/A</v>
      </c>
      <c r="AI31" s="12" t="e">
        <f>U31+COUNTIF($B31:E31,E31)-1</f>
        <v>#N/A</v>
      </c>
      <c r="AJ31" s="12" t="e">
        <f>V31+COUNTIF($B31:F31,F31)-1</f>
        <v>#N/A</v>
      </c>
      <c r="AK31" s="12" t="e">
        <f>W31+COUNTIF($B31:G31,G31)-1</f>
        <v>#N/A</v>
      </c>
      <c r="AL31" s="12" t="e">
        <f>X31+COUNTIF($B31:H31,H31)-1</f>
        <v>#N/A</v>
      </c>
      <c r="AM31" s="12" t="e">
        <f>Y31+COUNTIF($B31:I31,I31)-1</f>
        <v>#N/A</v>
      </c>
      <c r="AN31" s="12" t="e">
        <f>Z31+COUNTIF($B31:J31,J31)-1</f>
        <v>#N/A</v>
      </c>
      <c r="AO31" s="12" t="e">
        <f>AA31+COUNTIF($B31:K31,K31)-1</f>
        <v>#N/A</v>
      </c>
      <c r="AP31" s="12" t="e">
        <f>AB31+COUNTIF($B31:L31,L31)-1</f>
        <v>#N/A</v>
      </c>
      <c r="AQ31" s="12" t="e">
        <f>AC31+COUNTIF($B31:M31,M31)-1</f>
        <v>#N/A</v>
      </c>
      <c r="AR31" s="12" t="e">
        <f>AD31+COUNTIF($B31:N31,N31)-1</f>
        <v>#N/A</v>
      </c>
      <c r="AS31" s="12" t="e">
        <f>AE31+COUNTIF($B31:O31,O31)-1</f>
        <v>#N/A</v>
      </c>
      <c r="AT31" s="14">
        <f t="shared" si="6"/>
        <v>0</v>
      </c>
      <c r="AU31" s="11" t="e">
        <f t="shared" si="7"/>
        <v>#N/A</v>
      </c>
      <c r="AV31" s="15" t="e">
        <f t="shared" si="8"/>
        <v>#N/A</v>
      </c>
      <c r="AW31" s="11" t="e">
        <f t="shared" si="9"/>
        <v>#N/A</v>
      </c>
      <c r="AX31" s="15" t="e">
        <f t="shared" si="10"/>
        <v>#N/A</v>
      </c>
      <c r="AY31" s="11" t="e">
        <f t="shared" si="11"/>
        <v>#N/A</v>
      </c>
      <c r="AZ31" s="15" t="e">
        <f t="shared" si="12"/>
        <v>#N/A</v>
      </c>
      <c r="BA31" s="11" t="e">
        <f t="shared" si="13"/>
        <v>#N/A</v>
      </c>
      <c r="BB31" s="15" t="e">
        <f t="shared" si="14"/>
        <v>#N/A</v>
      </c>
      <c r="BC31" s="11" t="e">
        <f t="shared" si="15"/>
        <v>#N/A</v>
      </c>
      <c r="BD31" s="15" t="e">
        <f t="shared" si="16"/>
        <v>#N/A</v>
      </c>
      <c r="BE31" s="11" t="e">
        <f t="shared" si="17"/>
        <v>#N/A</v>
      </c>
      <c r="BF31" s="15" t="e">
        <f t="shared" si="18"/>
        <v>#N/A</v>
      </c>
    </row>
    <row r="32" spans="17:58">
      <c r="Q32">
        <f t="shared" si="19"/>
        <v>0</v>
      </c>
      <c r="R32" t="e">
        <f t="shared" si="20"/>
        <v>#N/A</v>
      </c>
      <c r="S32" t="e">
        <f t="shared" si="21"/>
        <v>#N/A</v>
      </c>
      <c r="T32" t="e">
        <f t="shared" si="22"/>
        <v>#N/A</v>
      </c>
      <c r="U32" t="e">
        <f t="shared" si="23"/>
        <v>#N/A</v>
      </c>
      <c r="V32" t="e">
        <f t="shared" si="24"/>
        <v>#N/A</v>
      </c>
      <c r="W32" t="e">
        <f t="shared" si="25"/>
        <v>#N/A</v>
      </c>
      <c r="X32" t="e">
        <f t="shared" si="26"/>
        <v>#N/A</v>
      </c>
      <c r="Y32" t="e">
        <f t="shared" si="27"/>
        <v>#N/A</v>
      </c>
      <c r="Z32" t="e">
        <f t="shared" si="28"/>
        <v>#N/A</v>
      </c>
      <c r="AA32" t="e">
        <f t="shared" si="29"/>
        <v>#N/A</v>
      </c>
      <c r="AB32" t="e">
        <f t="shared" si="30"/>
        <v>#N/A</v>
      </c>
      <c r="AC32" t="e">
        <f t="shared" si="31"/>
        <v>#N/A</v>
      </c>
      <c r="AD32" t="e">
        <f t="shared" si="32"/>
        <v>#N/A</v>
      </c>
      <c r="AE32" t="e">
        <f t="shared" si="33"/>
        <v>#N/A</v>
      </c>
      <c r="AF32" s="12" t="e">
        <f>R32+COUNTIF($B32:B32,B32)-1</f>
        <v>#N/A</v>
      </c>
      <c r="AG32" s="12" t="e">
        <f>S32+COUNTIF($B32:C32,C32)-1</f>
        <v>#N/A</v>
      </c>
      <c r="AH32" s="12" t="e">
        <f>T32+COUNTIF($B32:D32,D32)-1</f>
        <v>#N/A</v>
      </c>
      <c r="AI32" s="12" t="e">
        <f>U32+COUNTIF($B32:E32,E32)-1</f>
        <v>#N/A</v>
      </c>
      <c r="AJ32" s="12" t="e">
        <f>V32+COUNTIF($B32:F32,F32)-1</f>
        <v>#N/A</v>
      </c>
      <c r="AK32" s="12" t="e">
        <f>W32+COUNTIF($B32:G32,G32)-1</f>
        <v>#N/A</v>
      </c>
      <c r="AL32" s="12" t="e">
        <f>X32+COUNTIF($B32:H32,H32)-1</f>
        <v>#N/A</v>
      </c>
      <c r="AM32" s="12" t="e">
        <f>Y32+COUNTIF($B32:I32,I32)-1</f>
        <v>#N/A</v>
      </c>
      <c r="AN32" s="12" t="e">
        <f>Z32+COUNTIF($B32:J32,J32)-1</f>
        <v>#N/A</v>
      </c>
      <c r="AO32" s="12" t="e">
        <f>AA32+COUNTIF($B32:K32,K32)-1</f>
        <v>#N/A</v>
      </c>
      <c r="AP32" s="12" t="e">
        <f>AB32+COUNTIF($B32:L32,L32)-1</f>
        <v>#N/A</v>
      </c>
      <c r="AQ32" s="12" t="e">
        <f>AC32+COUNTIF($B32:M32,M32)-1</f>
        <v>#N/A</v>
      </c>
      <c r="AR32" s="12" t="e">
        <f>AD32+COUNTIF($B32:N32,N32)-1</f>
        <v>#N/A</v>
      </c>
      <c r="AS32" s="12" t="e">
        <f>AE32+COUNTIF($B32:O32,O32)-1</f>
        <v>#N/A</v>
      </c>
      <c r="AT32" s="14">
        <f t="shared" si="6"/>
        <v>0</v>
      </c>
      <c r="AU32" s="11" t="e">
        <f t="shared" si="7"/>
        <v>#N/A</v>
      </c>
      <c r="AV32" s="15" t="e">
        <f t="shared" si="8"/>
        <v>#N/A</v>
      </c>
      <c r="AW32" s="11" t="e">
        <f t="shared" si="9"/>
        <v>#N/A</v>
      </c>
      <c r="AX32" s="15" t="e">
        <f t="shared" si="10"/>
        <v>#N/A</v>
      </c>
      <c r="AY32" s="11" t="e">
        <f t="shared" si="11"/>
        <v>#N/A</v>
      </c>
      <c r="AZ32" s="15" t="e">
        <f t="shared" si="12"/>
        <v>#N/A</v>
      </c>
      <c r="BA32" s="11" t="e">
        <f t="shared" si="13"/>
        <v>#N/A</v>
      </c>
      <c r="BB32" s="15" t="e">
        <f t="shared" si="14"/>
        <v>#N/A</v>
      </c>
      <c r="BC32" s="11" t="e">
        <f t="shared" si="15"/>
        <v>#N/A</v>
      </c>
      <c r="BD32" s="15" t="e">
        <f t="shared" si="16"/>
        <v>#N/A</v>
      </c>
      <c r="BE32" s="11" t="e">
        <f t="shared" si="17"/>
        <v>#N/A</v>
      </c>
      <c r="BF32" s="15" t="e">
        <f t="shared" si="18"/>
        <v>#N/A</v>
      </c>
    </row>
    <row r="33" spans="17:58">
      <c r="Q33">
        <f t="shared" si="19"/>
        <v>0</v>
      </c>
      <c r="R33" t="e">
        <f t="shared" si="20"/>
        <v>#N/A</v>
      </c>
      <c r="S33" t="e">
        <f t="shared" si="21"/>
        <v>#N/A</v>
      </c>
      <c r="T33" t="e">
        <f t="shared" si="22"/>
        <v>#N/A</v>
      </c>
      <c r="U33" t="e">
        <f t="shared" si="23"/>
        <v>#N/A</v>
      </c>
      <c r="V33" t="e">
        <f t="shared" si="24"/>
        <v>#N/A</v>
      </c>
      <c r="W33" t="e">
        <f t="shared" si="25"/>
        <v>#N/A</v>
      </c>
      <c r="X33" t="e">
        <f t="shared" si="26"/>
        <v>#N/A</v>
      </c>
      <c r="Y33" t="e">
        <f t="shared" si="27"/>
        <v>#N/A</v>
      </c>
      <c r="Z33" t="e">
        <f t="shared" si="28"/>
        <v>#N/A</v>
      </c>
      <c r="AA33" t="e">
        <f t="shared" si="29"/>
        <v>#N/A</v>
      </c>
      <c r="AB33" t="e">
        <f t="shared" si="30"/>
        <v>#N/A</v>
      </c>
      <c r="AC33" t="e">
        <f t="shared" si="31"/>
        <v>#N/A</v>
      </c>
      <c r="AD33" t="e">
        <f t="shared" si="32"/>
        <v>#N/A</v>
      </c>
      <c r="AE33" t="e">
        <f t="shared" si="33"/>
        <v>#N/A</v>
      </c>
      <c r="AF33" s="12" t="e">
        <f>R33+COUNTIF($B33:B33,B33)-1</f>
        <v>#N/A</v>
      </c>
      <c r="AG33" s="12" t="e">
        <f>S33+COUNTIF($B33:C33,C33)-1</f>
        <v>#N/A</v>
      </c>
      <c r="AH33" s="12" t="e">
        <f>T33+COUNTIF($B33:D33,D33)-1</f>
        <v>#N/A</v>
      </c>
      <c r="AI33" s="12" t="e">
        <f>U33+COUNTIF($B33:E33,E33)-1</f>
        <v>#N/A</v>
      </c>
      <c r="AJ33" s="12" t="e">
        <f>V33+COUNTIF($B33:F33,F33)-1</f>
        <v>#N/A</v>
      </c>
      <c r="AK33" s="12" t="e">
        <f>W33+COUNTIF($B33:G33,G33)-1</f>
        <v>#N/A</v>
      </c>
      <c r="AL33" s="12" t="e">
        <f>X33+COUNTIF($B33:H33,H33)-1</f>
        <v>#N/A</v>
      </c>
      <c r="AM33" s="12" t="e">
        <f>Y33+COUNTIF($B33:I33,I33)-1</f>
        <v>#N/A</v>
      </c>
      <c r="AN33" s="12" t="e">
        <f>Z33+COUNTIF($B33:J33,J33)-1</f>
        <v>#N/A</v>
      </c>
      <c r="AO33" s="12" t="e">
        <f>AA33+COUNTIF($B33:K33,K33)-1</f>
        <v>#N/A</v>
      </c>
      <c r="AP33" s="12" t="e">
        <f>AB33+COUNTIF($B33:L33,L33)-1</f>
        <v>#N/A</v>
      </c>
      <c r="AQ33" s="12" t="e">
        <f>AC33+COUNTIF($B33:M33,M33)-1</f>
        <v>#N/A</v>
      </c>
      <c r="AR33" s="12" t="e">
        <f>AD33+COUNTIF($B33:N33,N33)-1</f>
        <v>#N/A</v>
      </c>
      <c r="AS33" s="12" t="e">
        <f>AE33+COUNTIF($B33:O33,O33)-1</f>
        <v>#N/A</v>
      </c>
      <c r="AT33" s="14">
        <f t="shared" si="6"/>
        <v>0</v>
      </c>
      <c r="AU33" s="11" t="e">
        <f t="shared" si="7"/>
        <v>#N/A</v>
      </c>
      <c r="AV33" s="15" t="e">
        <f t="shared" si="8"/>
        <v>#N/A</v>
      </c>
      <c r="AW33" s="11" t="e">
        <f t="shared" si="9"/>
        <v>#N/A</v>
      </c>
      <c r="AX33" s="15" t="e">
        <f t="shared" si="10"/>
        <v>#N/A</v>
      </c>
      <c r="AY33" s="11" t="e">
        <f t="shared" si="11"/>
        <v>#N/A</v>
      </c>
      <c r="AZ33" s="15" t="e">
        <f t="shared" si="12"/>
        <v>#N/A</v>
      </c>
      <c r="BA33" s="11" t="e">
        <f t="shared" si="13"/>
        <v>#N/A</v>
      </c>
      <c r="BB33" s="15" t="e">
        <f t="shared" si="14"/>
        <v>#N/A</v>
      </c>
      <c r="BC33" s="11" t="e">
        <f t="shared" si="15"/>
        <v>#N/A</v>
      </c>
      <c r="BD33" s="15" t="e">
        <f t="shared" si="16"/>
        <v>#N/A</v>
      </c>
      <c r="BE33" s="11" t="e">
        <f t="shared" si="17"/>
        <v>#N/A</v>
      </c>
      <c r="BF33" s="15" t="e">
        <f t="shared" si="18"/>
        <v>#N/A</v>
      </c>
    </row>
    <row r="34" spans="17:58">
      <c r="Q34">
        <f t="shared" si="19"/>
        <v>0</v>
      </c>
      <c r="R34" t="e">
        <f t="shared" si="20"/>
        <v>#N/A</v>
      </c>
      <c r="S34" t="e">
        <f t="shared" si="21"/>
        <v>#N/A</v>
      </c>
      <c r="T34" t="e">
        <f t="shared" si="22"/>
        <v>#N/A</v>
      </c>
      <c r="U34" t="e">
        <f t="shared" si="23"/>
        <v>#N/A</v>
      </c>
      <c r="V34" t="e">
        <f t="shared" si="24"/>
        <v>#N/A</v>
      </c>
      <c r="W34" t="e">
        <f t="shared" si="25"/>
        <v>#N/A</v>
      </c>
      <c r="X34" t="e">
        <f t="shared" si="26"/>
        <v>#N/A</v>
      </c>
      <c r="Y34" t="e">
        <f t="shared" si="27"/>
        <v>#N/A</v>
      </c>
      <c r="Z34" t="e">
        <f t="shared" si="28"/>
        <v>#N/A</v>
      </c>
      <c r="AA34" t="e">
        <f t="shared" si="29"/>
        <v>#N/A</v>
      </c>
      <c r="AB34" t="e">
        <f t="shared" si="30"/>
        <v>#N/A</v>
      </c>
      <c r="AC34" t="e">
        <f t="shared" si="31"/>
        <v>#N/A</v>
      </c>
      <c r="AD34" t="e">
        <f t="shared" si="32"/>
        <v>#N/A</v>
      </c>
      <c r="AE34" t="e">
        <f t="shared" si="33"/>
        <v>#N/A</v>
      </c>
      <c r="AF34" s="12" t="e">
        <f>R34+COUNTIF($B34:B34,B34)-1</f>
        <v>#N/A</v>
      </c>
      <c r="AG34" s="12" t="e">
        <f>S34+COUNTIF($B34:C34,C34)-1</f>
        <v>#N/A</v>
      </c>
      <c r="AH34" s="12" t="e">
        <f>T34+COUNTIF($B34:D34,D34)-1</f>
        <v>#N/A</v>
      </c>
      <c r="AI34" s="12" t="e">
        <f>U34+COUNTIF($B34:E34,E34)-1</f>
        <v>#N/A</v>
      </c>
      <c r="AJ34" s="12" t="e">
        <f>V34+COUNTIF($B34:F34,F34)-1</f>
        <v>#N/A</v>
      </c>
      <c r="AK34" s="12" t="e">
        <f>W34+COUNTIF($B34:G34,G34)-1</f>
        <v>#N/A</v>
      </c>
      <c r="AL34" s="12" t="e">
        <f>X34+COUNTIF($B34:H34,H34)-1</f>
        <v>#N/A</v>
      </c>
      <c r="AM34" s="12" t="e">
        <f>Y34+COUNTIF($B34:I34,I34)-1</f>
        <v>#N/A</v>
      </c>
      <c r="AN34" s="12" t="e">
        <f>Z34+COUNTIF($B34:J34,J34)-1</f>
        <v>#N/A</v>
      </c>
      <c r="AO34" s="12" t="e">
        <f>AA34+COUNTIF($B34:K34,K34)-1</f>
        <v>#N/A</v>
      </c>
      <c r="AP34" s="12" t="e">
        <f>AB34+COUNTIF($B34:L34,L34)-1</f>
        <v>#N/A</v>
      </c>
      <c r="AQ34" s="12" t="e">
        <f>AC34+COUNTIF($B34:M34,M34)-1</f>
        <v>#N/A</v>
      </c>
      <c r="AR34" s="12" t="e">
        <f>AD34+COUNTIF($B34:N34,N34)-1</f>
        <v>#N/A</v>
      </c>
      <c r="AS34" s="12" t="e">
        <f>AE34+COUNTIF($B34:O34,O34)-1</f>
        <v>#N/A</v>
      </c>
      <c r="AT34" s="14">
        <f t="shared" si="6"/>
        <v>0</v>
      </c>
      <c r="AU34" s="11" t="e">
        <f t="shared" si="7"/>
        <v>#N/A</v>
      </c>
      <c r="AV34" s="15" t="e">
        <f t="shared" si="8"/>
        <v>#N/A</v>
      </c>
      <c r="AW34" s="11" t="e">
        <f t="shared" si="9"/>
        <v>#N/A</v>
      </c>
      <c r="AX34" s="15" t="e">
        <f t="shared" si="10"/>
        <v>#N/A</v>
      </c>
      <c r="AY34" s="11" t="e">
        <f t="shared" si="11"/>
        <v>#N/A</v>
      </c>
      <c r="AZ34" s="15" t="e">
        <f t="shared" si="12"/>
        <v>#N/A</v>
      </c>
      <c r="BA34" s="11" t="e">
        <f t="shared" si="13"/>
        <v>#N/A</v>
      </c>
      <c r="BB34" s="15" t="e">
        <f t="shared" si="14"/>
        <v>#N/A</v>
      </c>
      <c r="BC34" s="11" t="e">
        <f t="shared" si="15"/>
        <v>#N/A</v>
      </c>
      <c r="BD34" s="15" t="e">
        <f t="shared" si="16"/>
        <v>#N/A</v>
      </c>
      <c r="BE34" s="11" t="e">
        <f t="shared" si="17"/>
        <v>#N/A</v>
      </c>
      <c r="BF34" s="15" t="e">
        <f t="shared" si="18"/>
        <v>#N/A</v>
      </c>
    </row>
    <row r="35" spans="17:58">
      <c r="Q35">
        <f t="shared" si="19"/>
        <v>0</v>
      </c>
      <c r="R35" t="e">
        <f t="shared" si="20"/>
        <v>#N/A</v>
      </c>
      <c r="S35" t="e">
        <f t="shared" si="21"/>
        <v>#N/A</v>
      </c>
      <c r="T35" t="e">
        <f t="shared" si="22"/>
        <v>#N/A</v>
      </c>
      <c r="U35" t="e">
        <f t="shared" si="23"/>
        <v>#N/A</v>
      </c>
      <c r="V35" t="e">
        <f t="shared" si="24"/>
        <v>#N/A</v>
      </c>
      <c r="W35" t="e">
        <f t="shared" si="25"/>
        <v>#N/A</v>
      </c>
      <c r="X35" t="e">
        <f t="shared" si="26"/>
        <v>#N/A</v>
      </c>
      <c r="Y35" t="e">
        <f t="shared" si="27"/>
        <v>#N/A</v>
      </c>
      <c r="Z35" t="e">
        <f t="shared" si="28"/>
        <v>#N/A</v>
      </c>
      <c r="AA35" t="e">
        <f t="shared" si="29"/>
        <v>#N/A</v>
      </c>
      <c r="AB35" t="e">
        <f t="shared" si="30"/>
        <v>#N/A</v>
      </c>
      <c r="AC35" t="e">
        <f t="shared" si="31"/>
        <v>#N/A</v>
      </c>
      <c r="AD35" t="e">
        <f t="shared" si="32"/>
        <v>#N/A</v>
      </c>
      <c r="AE35" t="e">
        <f t="shared" si="33"/>
        <v>#N/A</v>
      </c>
      <c r="AF35" s="12" t="e">
        <f>R35+COUNTIF($B35:B35,B35)-1</f>
        <v>#N/A</v>
      </c>
      <c r="AG35" s="12" t="e">
        <f>S35+COUNTIF($B35:C35,C35)-1</f>
        <v>#N/A</v>
      </c>
      <c r="AH35" s="12" t="e">
        <f>T35+COUNTIF($B35:D35,D35)-1</f>
        <v>#N/A</v>
      </c>
      <c r="AI35" s="12" t="e">
        <f>U35+COUNTIF($B35:E35,E35)-1</f>
        <v>#N/A</v>
      </c>
      <c r="AJ35" s="12" t="e">
        <f>V35+COUNTIF($B35:F35,F35)-1</f>
        <v>#N/A</v>
      </c>
      <c r="AK35" s="12" t="e">
        <f>W35+COUNTIF($B35:G35,G35)-1</f>
        <v>#N/A</v>
      </c>
      <c r="AL35" s="12" t="e">
        <f>X35+COUNTIF($B35:H35,H35)-1</f>
        <v>#N/A</v>
      </c>
      <c r="AM35" s="12" t="e">
        <f>Y35+COUNTIF($B35:I35,I35)-1</f>
        <v>#N/A</v>
      </c>
      <c r="AN35" s="12" t="e">
        <f>Z35+COUNTIF($B35:J35,J35)-1</f>
        <v>#N/A</v>
      </c>
      <c r="AO35" s="12" t="e">
        <f>AA35+COUNTIF($B35:K35,K35)-1</f>
        <v>#N/A</v>
      </c>
      <c r="AP35" s="12" t="e">
        <f>AB35+COUNTIF($B35:L35,L35)-1</f>
        <v>#N/A</v>
      </c>
      <c r="AQ35" s="12" t="e">
        <f>AC35+COUNTIF($B35:M35,M35)-1</f>
        <v>#N/A</v>
      </c>
      <c r="AR35" s="12" t="e">
        <f>AD35+COUNTIF($B35:N35,N35)-1</f>
        <v>#N/A</v>
      </c>
      <c r="AS35" s="12" t="e">
        <f>AE35+COUNTIF($B35:O35,O35)-1</f>
        <v>#N/A</v>
      </c>
      <c r="AT35" s="14">
        <f t="shared" si="6"/>
        <v>0</v>
      </c>
      <c r="AU35" s="11" t="e">
        <f t="shared" si="7"/>
        <v>#N/A</v>
      </c>
      <c r="AV35" s="15" t="e">
        <f t="shared" si="8"/>
        <v>#N/A</v>
      </c>
      <c r="AW35" s="11" t="e">
        <f t="shared" si="9"/>
        <v>#N/A</v>
      </c>
      <c r="AX35" s="15" t="e">
        <f t="shared" si="10"/>
        <v>#N/A</v>
      </c>
      <c r="AY35" s="11" t="e">
        <f t="shared" si="11"/>
        <v>#N/A</v>
      </c>
      <c r="AZ35" s="15" t="e">
        <f t="shared" si="12"/>
        <v>#N/A</v>
      </c>
      <c r="BA35" s="11" t="e">
        <f t="shared" si="13"/>
        <v>#N/A</v>
      </c>
      <c r="BB35" s="15" t="e">
        <f t="shared" si="14"/>
        <v>#N/A</v>
      </c>
      <c r="BC35" s="11" t="e">
        <f t="shared" si="15"/>
        <v>#N/A</v>
      </c>
      <c r="BD35" s="15" t="e">
        <f t="shared" si="16"/>
        <v>#N/A</v>
      </c>
      <c r="BE35" s="11" t="e">
        <f t="shared" si="17"/>
        <v>#N/A</v>
      </c>
      <c r="BF35" s="15" t="e">
        <f t="shared" si="18"/>
        <v>#N/A</v>
      </c>
    </row>
    <row r="36" spans="17:58">
      <c r="Q36">
        <f t="shared" si="19"/>
        <v>0</v>
      </c>
      <c r="R36" t="e">
        <f t="shared" si="20"/>
        <v>#N/A</v>
      </c>
      <c r="S36" t="e">
        <f t="shared" si="21"/>
        <v>#N/A</v>
      </c>
      <c r="T36" t="e">
        <f t="shared" si="22"/>
        <v>#N/A</v>
      </c>
      <c r="U36" t="e">
        <f t="shared" si="23"/>
        <v>#N/A</v>
      </c>
      <c r="V36" t="e">
        <f t="shared" si="24"/>
        <v>#N/A</v>
      </c>
      <c r="W36" t="e">
        <f t="shared" si="25"/>
        <v>#N/A</v>
      </c>
      <c r="X36" t="e">
        <f t="shared" si="26"/>
        <v>#N/A</v>
      </c>
      <c r="Y36" t="e">
        <f t="shared" si="27"/>
        <v>#N/A</v>
      </c>
      <c r="Z36" t="e">
        <f t="shared" si="28"/>
        <v>#N/A</v>
      </c>
      <c r="AA36" t="e">
        <f t="shared" si="29"/>
        <v>#N/A</v>
      </c>
      <c r="AB36" t="e">
        <f t="shared" si="30"/>
        <v>#N/A</v>
      </c>
      <c r="AC36" t="e">
        <f t="shared" si="31"/>
        <v>#N/A</v>
      </c>
      <c r="AD36" t="e">
        <f t="shared" si="32"/>
        <v>#N/A</v>
      </c>
      <c r="AE36" t="e">
        <f t="shared" si="33"/>
        <v>#N/A</v>
      </c>
      <c r="AF36" s="12" t="e">
        <f>R36+COUNTIF($B36:B36,B36)-1</f>
        <v>#N/A</v>
      </c>
      <c r="AG36" s="12" t="e">
        <f>S36+COUNTIF($B36:C36,C36)-1</f>
        <v>#N/A</v>
      </c>
      <c r="AH36" s="12" t="e">
        <f>T36+COUNTIF($B36:D36,D36)-1</f>
        <v>#N/A</v>
      </c>
      <c r="AI36" s="12" t="e">
        <f>U36+COUNTIF($B36:E36,E36)-1</f>
        <v>#N/A</v>
      </c>
      <c r="AJ36" s="12" t="e">
        <f>V36+COUNTIF($B36:F36,F36)-1</f>
        <v>#N/A</v>
      </c>
      <c r="AK36" s="12" t="e">
        <f>W36+COUNTIF($B36:G36,G36)-1</f>
        <v>#N/A</v>
      </c>
      <c r="AL36" s="12" t="e">
        <f>X36+COUNTIF($B36:H36,H36)-1</f>
        <v>#N/A</v>
      </c>
      <c r="AM36" s="12" t="e">
        <f>Y36+COUNTIF($B36:I36,I36)-1</f>
        <v>#N/A</v>
      </c>
      <c r="AN36" s="12" t="e">
        <f>Z36+COUNTIF($B36:J36,J36)-1</f>
        <v>#N/A</v>
      </c>
      <c r="AO36" s="12" t="e">
        <f>AA36+COUNTIF($B36:K36,K36)-1</f>
        <v>#N/A</v>
      </c>
      <c r="AP36" s="12" t="e">
        <f>AB36+COUNTIF($B36:L36,L36)-1</f>
        <v>#N/A</v>
      </c>
      <c r="AQ36" s="12" t="e">
        <f>AC36+COUNTIF($B36:M36,M36)-1</f>
        <v>#N/A</v>
      </c>
      <c r="AR36" s="12" t="e">
        <f>AD36+COUNTIF($B36:N36,N36)-1</f>
        <v>#N/A</v>
      </c>
      <c r="AS36" s="12" t="e">
        <f>AE36+COUNTIF($B36:O36,O36)-1</f>
        <v>#N/A</v>
      </c>
      <c r="AT36" s="14">
        <f t="shared" si="6"/>
        <v>0</v>
      </c>
      <c r="AU36" s="11" t="e">
        <f t="shared" si="7"/>
        <v>#N/A</v>
      </c>
      <c r="AV36" s="15" t="e">
        <f t="shared" si="8"/>
        <v>#N/A</v>
      </c>
      <c r="AW36" s="11" t="e">
        <f t="shared" si="9"/>
        <v>#N/A</v>
      </c>
      <c r="AX36" s="15" t="e">
        <f t="shared" si="10"/>
        <v>#N/A</v>
      </c>
      <c r="AY36" s="11" t="e">
        <f t="shared" si="11"/>
        <v>#N/A</v>
      </c>
      <c r="AZ36" s="15" t="e">
        <f t="shared" si="12"/>
        <v>#N/A</v>
      </c>
      <c r="BA36" s="11" t="e">
        <f t="shared" si="13"/>
        <v>#N/A</v>
      </c>
      <c r="BB36" s="15" t="e">
        <f t="shared" si="14"/>
        <v>#N/A</v>
      </c>
      <c r="BC36" s="11" t="e">
        <f t="shared" si="15"/>
        <v>#N/A</v>
      </c>
      <c r="BD36" s="15" t="e">
        <f t="shared" si="16"/>
        <v>#N/A</v>
      </c>
      <c r="BE36" s="11" t="e">
        <f t="shared" si="17"/>
        <v>#N/A</v>
      </c>
      <c r="BF36" s="15" t="e">
        <f t="shared" si="18"/>
        <v>#N/A</v>
      </c>
    </row>
    <row r="37" spans="17:58">
      <c r="Q37">
        <f t="shared" si="19"/>
        <v>0</v>
      </c>
      <c r="R37" t="e">
        <f t="shared" si="20"/>
        <v>#N/A</v>
      </c>
      <c r="S37" t="e">
        <f t="shared" si="21"/>
        <v>#N/A</v>
      </c>
      <c r="T37" t="e">
        <f t="shared" si="22"/>
        <v>#N/A</v>
      </c>
      <c r="U37" t="e">
        <f t="shared" si="23"/>
        <v>#N/A</v>
      </c>
      <c r="V37" t="e">
        <f t="shared" si="24"/>
        <v>#N/A</v>
      </c>
      <c r="W37" t="e">
        <f t="shared" si="25"/>
        <v>#N/A</v>
      </c>
      <c r="X37" t="e">
        <f t="shared" si="26"/>
        <v>#N/A</v>
      </c>
      <c r="Y37" t="e">
        <f t="shared" si="27"/>
        <v>#N/A</v>
      </c>
      <c r="Z37" t="e">
        <f t="shared" si="28"/>
        <v>#N/A</v>
      </c>
      <c r="AA37" t="e">
        <f t="shared" si="29"/>
        <v>#N/A</v>
      </c>
      <c r="AB37" t="e">
        <f t="shared" si="30"/>
        <v>#N/A</v>
      </c>
      <c r="AC37" t="e">
        <f t="shared" si="31"/>
        <v>#N/A</v>
      </c>
      <c r="AD37" t="e">
        <f t="shared" si="32"/>
        <v>#N/A</v>
      </c>
      <c r="AE37" t="e">
        <f t="shared" si="33"/>
        <v>#N/A</v>
      </c>
      <c r="AF37" s="12" t="e">
        <f>R37+COUNTIF($B37:B37,B37)-1</f>
        <v>#N/A</v>
      </c>
      <c r="AG37" s="12" t="e">
        <f>S37+COUNTIF($B37:C37,C37)-1</f>
        <v>#N/A</v>
      </c>
      <c r="AH37" s="12" t="e">
        <f>T37+COUNTIF($B37:D37,D37)-1</f>
        <v>#N/A</v>
      </c>
      <c r="AI37" s="12" t="e">
        <f>U37+COUNTIF($B37:E37,E37)-1</f>
        <v>#N/A</v>
      </c>
      <c r="AJ37" s="12" t="e">
        <f>V37+COUNTIF($B37:F37,F37)-1</f>
        <v>#N/A</v>
      </c>
      <c r="AK37" s="12" t="e">
        <f>W37+COUNTIF($B37:G37,G37)-1</f>
        <v>#N/A</v>
      </c>
      <c r="AL37" s="12" t="e">
        <f>X37+COUNTIF($B37:H37,H37)-1</f>
        <v>#N/A</v>
      </c>
      <c r="AM37" s="12" t="e">
        <f>Y37+COUNTIF($B37:I37,I37)-1</f>
        <v>#N/A</v>
      </c>
      <c r="AN37" s="12" t="e">
        <f>Z37+COUNTIF($B37:J37,J37)-1</f>
        <v>#N/A</v>
      </c>
      <c r="AO37" s="12" t="e">
        <f>AA37+COUNTIF($B37:K37,K37)-1</f>
        <v>#N/A</v>
      </c>
      <c r="AP37" s="12" t="e">
        <f>AB37+COUNTIF($B37:L37,L37)-1</f>
        <v>#N/A</v>
      </c>
      <c r="AQ37" s="12" t="e">
        <f>AC37+COUNTIF($B37:M37,M37)-1</f>
        <v>#N/A</v>
      </c>
      <c r="AR37" s="12" t="e">
        <f>AD37+COUNTIF($B37:N37,N37)-1</f>
        <v>#N/A</v>
      </c>
      <c r="AS37" s="12" t="e">
        <f>AE37+COUNTIF($B37:O37,O37)-1</f>
        <v>#N/A</v>
      </c>
      <c r="AT37" s="14">
        <f t="shared" ref="AT37:AT63" si="34">A37</f>
        <v>0</v>
      </c>
      <c r="AU37" s="11" t="e">
        <f t="shared" ref="AU37:AU63" si="35">INDEX($AF$4:$AS$4,1,MATCH(SMALL($AF37:$AS37,AU$4),$AF37:$AS37,FALSE))</f>
        <v>#N/A</v>
      </c>
      <c r="AV37" s="15" t="e">
        <f t="shared" ref="AV37:AV63" si="36">INDEX($B37:$O37,1,MATCH(AU37,$B$4:$O$4,FALSE))/$Q37</f>
        <v>#N/A</v>
      </c>
      <c r="AW37" s="11" t="e">
        <f t="shared" ref="AW37:AW63" si="37">INDEX($AF$4:$AS$4,1,MATCH(SMALL($AF37:$AS37,AW$4),$AF37:$AS37,FALSE))</f>
        <v>#N/A</v>
      </c>
      <c r="AX37" s="15" t="e">
        <f t="shared" ref="AX37:AX63" si="38">INDEX($B37:$O37,1,MATCH(AW37,$B$4:$O$4,FALSE))/$Q37</f>
        <v>#N/A</v>
      </c>
      <c r="AY37" s="11" t="e">
        <f t="shared" ref="AY37:AY63" si="39">INDEX($AF$4:$AS$4,1,MATCH(SMALL($AF37:$AS37,AY$4),$AF37:$AS37,FALSE))</f>
        <v>#N/A</v>
      </c>
      <c r="AZ37" s="15" t="e">
        <f t="shared" ref="AZ37:AZ63" si="40">INDEX($B37:$O37,1,MATCH(AY37,$B$4:$O$4,FALSE))/$Q37</f>
        <v>#N/A</v>
      </c>
      <c r="BA37" s="11" t="e">
        <f t="shared" ref="BA37:BA63" si="41">INDEX($AF$4:$AS$4,1,MATCH(SMALL($AF37:$AS37,BA$4),$AF37:$AS37,FALSE))</f>
        <v>#N/A</v>
      </c>
      <c r="BB37" s="15" t="e">
        <f t="shared" ref="BB37:BB63" si="42">INDEX($B37:$O37,1,MATCH(BA37,$B$4:$O$4,FALSE))/$Q37</f>
        <v>#N/A</v>
      </c>
      <c r="BC37" s="11" t="e">
        <f t="shared" ref="BC37:BC63" si="43">INDEX($AF$4:$AS$4,1,MATCH(SMALL($AF37:$AS37,BC$4),$AF37:$AS37,FALSE))</f>
        <v>#N/A</v>
      </c>
      <c r="BD37" s="15" t="e">
        <f t="shared" ref="BD37:BD63" si="44">INDEX($B37:$O37,1,MATCH(BC37,$B$4:$O$4,FALSE))/$Q37</f>
        <v>#N/A</v>
      </c>
      <c r="BE37" s="11" t="e">
        <f t="shared" ref="BE37:BE63" si="45">INDEX($AF$4:$AS$4,1,MATCH(SMALL($AF37:$AS37,BE$4),$AF37:$AS37,FALSE))</f>
        <v>#N/A</v>
      </c>
      <c r="BF37" s="15" t="e">
        <f t="shared" ref="BF37:BF63" si="46">INDEX($B37:$O37,1,MATCH(BE37,$B$4:$O$4,FALSE))/$Q37</f>
        <v>#N/A</v>
      </c>
    </row>
    <row r="38" spans="17:58">
      <c r="Q38">
        <f t="shared" si="19"/>
        <v>0</v>
      </c>
      <c r="R38" t="e">
        <f t="shared" si="20"/>
        <v>#N/A</v>
      </c>
      <c r="S38" t="e">
        <f t="shared" si="21"/>
        <v>#N/A</v>
      </c>
      <c r="T38" t="e">
        <f t="shared" si="22"/>
        <v>#N/A</v>
      </c>
      <c r="U38" t="e">
        <f t="shared" si="23"/>
        <v>#N/A</v>
      </c>
      <c r="V38" t="e">
        <f t="shared" si="24"/>
        <v>#N/A</v>
      </c>
      <c r="W38" t="e">
        <f t="shared" si="25"/>
        <v>#N/A</v>
      </c>
      <c r="X38" t="e">
        <f t="shared" si="26"/>
        <v>#N/A</v>
      </c>
      <c r="Y38" t="e">
        <f t="shared" si="27"/>
        <v>#N/A</v>
      </c>
      <c r="Z38" t="e">
        <f t="shared" si="28"/>
        <v>#N/A</v>
      </c>
      <c r="AA38" t="e">
        <f t="shared" si="29"/>
        <v>#N/A</v>
      </c>
      <c r="AB38" t="e">
        <f t="shared" si="30"/>
        <v>#N/A</v>
      </c>
      <c r="AC38" t="e">
        <f t="shared" si="31"/>
        <v>#N/A</v>
      </c>
      <c r="AD38" t="e">
        <f t="shared" si="32"/>
        <v>#N/A</v>
      </c>
      <c r="AE38" t="e">
        <f t="shared" si="33"/>
        <v>#N/A</v>
      </c>
      <c r="AF38" s="12" t="e">
        <f>R38+COUNTIF($B38:B38,B38)-1</f>
        <v>#N/A</v>
      </c>
      <c r="AG38" s="12" t="e">
        <f>S38+COUNTIF($B38:C38,C38)-1</f>
        <v>#N/A</v>
      </c>
      <c r="AH38" s="12" t="e">
        <f>T38+COUNTIF($B38:D38,D38)-1</f>
        <v>#N/A</v>
      </c>
      <c r="AI38" s="12" t="e">
        <f>U38+COUNTIF($B38:E38,E38)-1</f>
        <v>#N/A</v>
      </c>
      <c r="AJ38" s="12" t="e">
        <f>V38+COUNTIF($B38:F38,F38)-1</f>
        <v>#N/A</v>
      </c>
      <c r="AK38" s="12" t="e">
        <f>W38+COUNTIF($B38:G38,G38)-1</f>
        <v>#N/A</v>
      </c>
      <c r="AL38" s="12" t="e">
        <f>X38+COUNTIF($B38:H38,H38)-1</f>
        <v>#N/A</v>
      </c>
      <c r="AM38" s="12" t="e">
        <f>Y38+COUNTIF($B38:I38,I38)-1</f>
        <v>#N/A</v>
      </c>
      <c r="AN38" s="12" t="e">
        <f>Z38+COUNTIF($B38:J38,J38)-1</f>
        <v>#N/A</v>
      </c>
      <c r="AO38" s="12" t="e">
        <f>AA38+COUNTIF($B38:K38,K38)-1</f>
        <v>#N/A</v>
      </c>
      <c r="AP38" s="12" t="e">
        <f>AB38+COUNTIF($B38:L38,L38)-1</f>
        <v>#N/A</v>
      </c>
      <c r="AQ38" s="12" t="e">
        <f>AC38+COUNTIF($B38:M38,M38)-1</f>
        <v>#N/A</v>
      </c>
      <c r="AR38" s="12" t="e">
        <f>AD38+COUNTIF($B38:N38,N38)-1</f>
        <v>#N/A</v>
      </c>
      <c r="AS38" s="12" t="e">
        <f>AE38+COUNTIF($B38:O38,O38)-1</f>
        <v>#N/A</v>
      </c>
      <c r="AT38" s="14">
        <f t="shared" si="34"/>
        <v>0</v>
      </c>
      <c r="AU38" s="11" t="e">
        <f t="shared" si="35"/>
        <v>#N/A</v>
      </c>
      <c r="AV38" s="15" t="e">
        <f t="shared" si="36"/>
        <v>#N/A</v>
      </c>
      <c r="AW38" s="11" t="e">
        <f t="shared" si="37"/>
        <v>#N/A</v>
      </c>
      <c r="AX38" s="15" t="e">
        <f t="shared" si="38"/>
        <v>#N/A</v>
      </c>
      <c r="AY38" s="11" t="e">
        <f t="shared" si="39"/>
        <v>#N/A</v>
      </c>
      <c r="AZ38" s="15" t="e">
        <f t="shared" si="40"/>
        <v>#N/A</v>
      </c>
      <c r="BA38" s="11" t="e">
        <f t="shared" si="41"/>
        <v>#N/A</v>
      </c>
      <c r="BB38" s="15" t="e">
        <f t="shared" si="42"/>
        <v>#N/A</v>
      </c>
      <c r="BC38" s="11" t="e">
        <f t="shared" si="43"/>
        <v>#N/A</v>
      </c>
      <c r="BD38" s="15" t="e">
        <f t="shared" si="44"/>
        <v>#N/A</v>
      </c>
      <c r="BE38" s="11" t="e">
        <f t="shared" si="45"/>
        <v>#N/A</v>
      </c>
      <c r="BF38" s="15" t="e">
        <f t="shared" si="46"/>
        <v>#N/A</v>
      </c>
    </row>
    <row r="39" spans="17:58">
      <c r="Q39">
        <f t="shared" si="19"/>
        <v>0</v>
      </c>
      <c r="R39" t="e">
        <f t="shared" si="20"/>
        <v>#N/A</v>
      </c>
      <c r="S39" t="e">
        <f t="shared" si="21"/>
        <v>#N/A</v>
      </c>
      <c r="T39" t="e">
        <f t="shared" si="22"/>
        <v>#N/A</v>
      </c>
      <c r="U39" t="e">
        <f t="shared" si="23"/>
        <v>#N/A</v>
      </c>
      <c r="V39" t="e">
        <f t="shared" si="24"/>
        <v>#N/A</v>
      </c>
      <c r="W39" t="e">
        <f t="shared" si="25"/>
        <v>#N/A</v>
      </c>
      <c r="X39" t="e">
        <f t="shared" si="26"/>
        <v>#N/A</v>
      </c>
      <c r="Y39" t="e">
        <f t="shared" si="27"/>
        <v>#N/A</v>
      </c>
      <c r="Z39" t="e">
        <f t="shared" si="28"/>
        <v>#N/A</v>
      </c>
      <c r="AA39" t="e">
        <f t="shared" si="29"/>
        <v>#N/A</v>
      </c>
      <c r="AB39" t="e">
        <f t="shared" si="30"/>
        <v>#N/A</v>
      </c>
      <c r="AC39" t="e">
        <f t="shared" si="31"/>
        <v>#N/A</v>
      </c>
      <c r="AD39" t="e">
        <f t="shared" si="32"/>
        <v>#N/A</v>
      </c>
      <c r="AE39" t="e">
        <f t="shared" si="33"/>
        <v>#N/A</v>
      </c>
      <c r="AF39" s="12" t="e">
        <f>R39+COUNTIF($B39:B39,B39)-1</f>
        <v>#N/A</v>
      </c>
      <c r="AG39" s="12" t="e">
        <f>S39+COUNTIF($B39:C39,C39)-1</f>
        <v>#N/A</v>
      </c>
      <c r="AH39" s="12" t="e">
        <f>T39+COUNTIF($B39:D39,D39)-1</f>
        <v>#N/A</v>
      </c>
      <c r="AI39" s="12" t="e">
        <f>U39+COUNTIF($B39:E39,E39)-1</f>
        <v>#N/A</v>
      </c>
      <c r="AJ39" s="12" t="e">
        <f>V39+COUNTIF($B39:F39,F39)-1</f>
        <v>#N/A</v>
      </c>
      <c r="AK39" s="12" t="e">
        <f>W39+COUNTIF($B39:G39,G39)-1</f>
        <v>#N/A</v>
      </c>
      <c r="AL39" s="12" t="e">
        <f>X39+COUNTIF($B39:H39,H39)-1</f>
        <v>#N/A</v>
      </c>
      <c r="AM39" s="12" t="e">
        <f>Y39+COUNTIF($B39:I39,I39)-1</f>
        <v>#N/A</v>
      </c>
      <c r="AN39" s="12" t="e">
        <f>Z39+COUNTIF($B39:J39,J39)-1</f>
        <v>#N/A</v>
      </c>
      <c r="AO39" s="12" t="e">
        <f>AA39+COUNTIF($B39:K39,K39)-1</f>
        <v>#N/A</v>
      </c>
      <c r="AP39" s="12" t="e">
        <f>AB39+COUNTIF($B39:L39,L39)-1</f>
        <v>#N/A</v>
      </c>
      <c r="AQ39" s="12" t="e">
        <f>AC39+COUNTIF($B39:M39,M39)-1</f>
        <v>#N/A</v>
      </c>
      <c r="AR39" s="12" t="e">
        <f>AD39+COUNTIF($B39:N39,N39)-1</f>
        <v>#N/A</v>
      </c>
      <c r="AS39" s="12" t="e">
        <f>AE39+COUNTIF($B39:O39,O39)-1</f>
        <v>#N/A</v>
      </c>
      <c r="AT39" s="14">
        <f t="shared" si="34"/>
        <v>0</v>
      </c>
      <c r="AU39" s="11" t="e">
        <f t="shared" si="35"/>
        <v>#N/A</v>
      </c>
      <c r="AV39" s="15" t="e">
        <f t="shared" si="36"/>
        <v>#N/A</v>
      </c>
      <c r="AW39" s="11" t="e">
        <f t="shared" si="37"/>
        <v>#N/A</v>
      </c>
      <c r="AX39" s="15" t="e">
        <f t="shared" si="38"/>
        <v>#N/A</v>
      </c>
      <c r="AY39" s="11" t="e">
        <f t="shared" si="39"/>
        <v>#N/A</v>
      </c>
      <c r="AZ39" s="15" t="e">
        <f t="shared" si="40"/>
        <v>#N/A</v>
      </c>
      <c r="BA39" s="11" t="e">
        <f t="shared" si="41"/>
        <v>#N/A</v>
      </c>
      <c r="BB39" s="15" t="e">
        <f t="shared" si="42"/>
        <v>#N/A</v>
      </c>
      <c r="BC39" s="11" t="e">
        <f t="shared" si="43"/>
        <v>#N/A</v>
      </c>
      <c r="BD39" s="15" t="e">
        <f t="shared" si="44"/>
        <v>#N/A</v>
      </c>
      <c r="BE39" s="11" t="e">
        <f t="shared" si="45"/>
        <v>#N/A</v>
      </c>
      <c r="BF39" s="15" t="e">
        <f t="shared" si="46"/>
        <v>#N/A</v>
      </c>
    </row>
    <row r="40" spans="17:58">
      <c r="Q40">
        <f t="shared" si="19"/>
        <v>0</v>
      </c>
      <c r="R40" t="e">
        <f t="shared" si="20"/>
        <v>#N/A</v>
      </c>
      <c r="S40" t="e">
        <f t="shared" si="21"/>
        <v>#N/A</v>
      </c>
      <c r="T40" t="e">
        <f t="shared" si="22"/>
        <v>#N/A</v>
      </c>
      <c r="U40" t="e">
        <f t="shared" si="23"/>
        <v>#N/A</v>
      </c>
      <c r="V40" t="e">
        <f t="shared" si="24"/>
        <v>#N/A</v>
      </c>
      <c r="W40" t="e">
        <f t="shared" si="25"/>
        <v>#N/A</v>
      </c>
      <c r="X40" t="e">
        <f t="shared" si="26"/>
        <v>#N/A</v>
      </c>
      <c r="Y40" t="e">
        <f t="shared" si="27"/>
        <v>#N/A</v>
      </c>
      <c r="Z40" t="e">
        <f t="shared" si="28"/>
        <v>#N/A</v>
      </c>
      <c r="AA40" t="e">
        <f t="shared" si="29"/>
        <v>#N/A</v>
      </c>
      <c r="AB40" t="e">
        <f t="shared" si="30"/>
        <v>#N/A</v>
      </c>
      <c r="AC40" t="e">
        <f t="shared" si="31"/>
        <v>#N/A</v>
      </c>
      <c r="AD40" t="e">
        <f t="shared" si="32"/>
        <v>#N/A</v>
      </c>
      <c r="AE40" t="e">
        <f t="shared" si="33"/>
        <v>#N/A</v>
      </c>
      <c r="AF40" s="12" t="e">
        <f>R40+COUNTIF($B40:B40,B40)-1</f>
        <v>#N/A</v>
      </c>
      <c r="AG40" s="12" t="e">
        <f>S40+COUNTIF($B40:C40,C40)-1</f>
        <v>#N/A</v>
      </c>
      <c r="AH40" s="12" t="e">
        <f>T40+COUNTIF($B40:D40,D40)-1</f>
        <v>#N/A</v>
      </c>
      <c r="AI40" s="12" t="e">
        <f>U40+COUNTIF($B40:E40,E40)-1</f>
        <v>#N/A</v>
      </c>
      <c r="AJ40" s="12" t="e">
        <f>V40+COUNTIF($B40:F40,F40)-1</f>
        <v>#N/A</v>
      </c>
      <c r="AK40" s="12" t="e">
        <f>W40+COUNTIF($B40:G40,G40)-1</f>
        <v>#N/A</v>
      </c>
      <c r="AL40" s="12" t="e">
        <f>X40+COUNTIF($B40:H40,H40)-1</f>
        <v>#N/A</v>
      </c>
      <c r="AM40" s="12" t="e">
        <f>Y40+COUNTIF($B40:I40,I40)-1</f>
        <v>#N/A</v>
      </c>
      <c r="AN40" s="12" t="e">
        <f>Z40+COUNTIF($B40:J40,J40)-1</f>
        <v>#N/A</v>
      </c>
      <c r="AO40" s="12" t="e">
        <f>AA40+COUNTIF($B40:K40,K40)-1</f>
        <v>#N/A</v>
      </c>
      <c r="AP40" s="12" t="e">
        <f>AB40+COUNTIF($B40:L40,L40)-1</f>
        <v>#N/A</v>
      </c>
      <c r="AQ40" s="12" t="e">
        <f>AC40+COUNTIF($B40:M40,M40)-1</f>
        <v>#N/A</v>
      </c>
      <c r="AR40" s="12" t="e">
        <f>AD40+COUNTIF($B40:N40,N40)-1</f>
        <v>#N/A</v>
      </c>
      <c r="AS40" s="12" t="e">
        <f>AE40+COUNTIF($B40:O40,O40)-1</f>
        <v>#N/A</v>
      </c>
      <c r="AT40" s="14">
        <f t="shared" si="34"/>
        <v>0</v>
      </c>
      <c r="AU40" s="11" t="e">
        <f t="shared" si="35"/>
        <v>#N/A</v>
      </c>
      <c r="AV40" s="15" t="e">
        <f t="shared" si="36"/>
        <v>#N/A</v>
      </c>
      <c r="AW40" s="11" t="e">
        <f t="shared" si="37"/>
        <v>#N/A</v>
      </c>
      <c r="AX40" s="15" t="e">
        <f t="shared" si="38"/>
        <v>#N/A</v>
      </c>
      <c r="AY40" s="11" t="e">
        <f t="shared" si="39"/>
        <v>#N/A</v>
      </c>
      <c r="AZ40" s="15" t="e">
        <f t="shared" si="40"/>
        <v>#N/A</v>
      </c>
      <c r="BA40" s="11" t="e">
        <f t="shared" si="41"/>
        <v>#N/A</v>
      </c>
      <c r="BB40" s="15" t="e">
        <f t="shared" si="42"/>
        <v>#N/A</v>
      </c>
      <c r="BC40" s="11" t="e">
        <f t="shared" si="43"/>
        <v>#N/A</v>
      </c>
      <c r="BD40" s="15" t="e">
        <f t="shared" si="44"/>
        <v>#N/A</v>
      </c>
      <c r="BE40" s="11" t="e">
        <f t="shared" si="45"/>
        <v>#N/A</v>
      </c>
      <c r="BF40" s="15" t="e">
        <f t="shared" si="46"/>
        <v>#N/A</v>
      </c>
    </row>
    <row r="41" spans="17:58">
      <c r="Q41">
        <f t="shared" si="19"/>
        <v>0</v>
      </c>
      <c r="R41" t="e">
        <f t="shared" si="20"/>
        <v>#N/A</v>
      </c>
      <c r="S41" t="e">
        <f t="shared" si="21"/>
        <v>#N/A</v>
      </c>
      <c r="T41" t="e">
        <f t="shared" si="22"/>
        <v>#N/A</v>
      </c>
      <c r="U41" t="e">
        <f t="shared" si="23"/>
        <v>#N/A</v>
      </c>
      <c r="V41" t="e">
        <f t="shared" si="24"/>
        <v>#N/A</v>
      </c>
      <c r="W41" t="e">
        <f t="shared" si="25"/>
        <v>#N/A</v>
      </c>
      <c r="X41" t="e">
        <f t="shared" si="26"/>
        <v>#N/A</v>
      </c>
      <c r="Y41" t="e">
        <f t="shared" si="27"/>
        <v>#N/A</v>
      </c>
      <c r="Z41" t="e">
        <f t="shared" si="28"/>
        <v>#N/A</v>
      </c>
      <c r="AA41" t="e">
        <f t="shared" si="29"/>
        <v>#N/A</v>
      </c>
      <c r="AB41" t="e">
        <f t="shared" si="30"/>
        <v>#N/A</v>
      </c>
      <c r="AC41" t="e">
        <f t="shared" si="31"/>
        <v>#N/A</v>
      </c>
      <c r="AD41" t="e">
        <f t="shared" si="32"/>
        <v>#N/A</v>
      </c>
      <c r="AE41" t="e">
        <f t="shared" si="33"/>
        <v>#N/A</v>
      </c>
      <c r="AF41" s="12" t="e">
        <f>R41+COUNTIF($B41:B41,B41)-1</f>
        <v>#N/A</v>
      </c>
      <c r="AG41" s="12" t="e">
        <f>S41+COUNTIF($B41:C41,C41)-1</f>
        <v>#N/A</v>
      </c>
      <c r="AH41" s="12" t="e">
        <f>T41+COUNTIF($B41:D41,D41)-1</f>
        <v>#N/A</v>
      </c>
      <c r="AI41" s="12" t="e">
        <f>U41+COUNTIF($B41:E41,E41)-1</f>
        <v>#N/A</v>
      </c>
      <c r="AJ41" s="12" t="e">
        <f>V41+COUNTIF($B41:F41,F41)-1</f>
        <v>#N/A</v>
      </c>
      <c r="AK41" s="12" t="e">
        <f>W41+COUNTIF($B41:G41,G41)-1</f>
        <v>#N/A</v>
      </c>
      <c r="AL41" s="12" t="e">
        <f>X41+COUNTIF($B41:H41,H41)-1</f>
        <v>#N/A</v>
      </c>
      <c r="AM41" s="12" t="e">
        <f>Y41+COUNTIF($B41:I41,I41)-1</f>
        <v>#N/A</v>
      </c>
      <c r="AN41" s="12" t="e">
        <f>Z41+COUNTIF($B41:J41,J41)-1</f>
        <v>#N/A</v>
      </c>
      <c r="AO41" s="12" t="e">
        <f>AA41+COUNTIF($B41:K41,K41)-1</f>
        <v>#N/A</v>
      </c>
      <c r="AP41" s="12" t="e">
        <f>AB41+COUNTIF($B41:L41,L41)-1</f>
        <v>#N/A</v>
      </c>
      <c r="AQ41" s="12" t="e">
        <f>AC41+COUNTIF($B41:M41,M41)-1</f>
        <v>#N/A</v>
      </c>
      <c r="AR41" s="12" t="e">
        <f>AD41+COUNTIF($B41:N41,N41)-1</f>
        <v>#N/A</v>
      </c>
      <c r="AS41" s="12" t="e">
        <f>AE41+COUNTIF($B41:O41,O41)-1</f>
        <v>#N/A</v>
      </c>
      <c r="AT41" s="14">
        <f t="shared" si="34"/>
        <v>0</v>
      </c>
      <c r="AU41" s="11" t="e">
        <f t="shared" si="35"/>
        <v>#N/A</v>
      </c>
      <c r="AV41" s="15" t="e">
        <f t="shared" si="36"/>
        <v>#N/A</v>
      </c>
      <c r="AW41" s="11" t="e">
        <f t="shared" si="37"/>
        <v>#N/A</v>
      </c>
      <c r="AX41" s="15" t="e">
        <f t="shared" si="38"/>
        <v>#N/A</v>
      </c>
      <c r="AY41" s="11" t="e">
        <f t="shared" si="39"/>
        <v>#N/A</v>
      </c>
      <c r="AZ41" s="15" t="e">
        <f t="shared" si="40"/>
        <v>#N/A</v>
      </c>
      <c r="BA41" s="11" t="e">
        <f t="shared" si="41"/>
        <v>#N/A</v>
      </c>
      <c r="BB41" s="15" t="e">
        <f t="shared" si="42"/>
        <v>#N/A</v>
      </c>
      <c r="BC41" s="11" t="e">
        <f t="shared" si="43"/>
        <v>#N/A</v>
      </c>
      <c r="BD41" s="15" t="e">
        <f t="shared" si="44"/>
        <v>#N/A</v>
      </c>
      <c r="BE41" s="11" t="e">
        <f t="shared" si="45"/>
        <v>#N/A</v>
      </c>
      <c r="BF41" s="15" t="e">
        <f t="shared" si="46"/>
        <v>#N/A</v>
      </c>
    </row>
    <row r="42" spans="17:58">
      <c r="Q42">
        <f t="shared" si="19"/>
        <v>0</v>
      </c>
      <c r="R42" t="e">
        <f t="shared" si="20"/>
        <v>#N/A</v>
      </c>
      <c r="S42" t="e">
        <f t="shared" si="21"/>
        <v>#N/A</v>
      </c>
      <c r="T42" t="e">
        <f t="shared" si="22"/>
        <v>#N/A</v>
      </c>
      <c r="U42" t="e">
        <f t="shared" si="23"/>
        <v>#N/A</v>
      </c>
      <c r="V42" t="e">
        <f t="shared" si="24"/>
        <v>#N/A</v>
      </c>
      <c r="W42" t="e">
        <f t="shared" si="25"/>
        <v>#N/A</v>
      </c>
      <c r="X42" t="e">
        <f t="shared" si="26"/>
        <v>#N/A</v>
      </c>
      <c r="Y42" t="e">
        <f t="shared" si="27"/>
        <v>#N/A</v>
      </c>
      <c r="Z42" t="e">
        <f t="shared" si="28"/>
        <v>#N/A</v>
      </c>
      <c r="AA42" t="e">
        <f t="shared" si="29"/>
        <v>#N/A</v>
      </c>
      <c r="AB42" t="e">
        <f t="shared" si="30"/>
        <v>#N/A</v>
      </c>
      <c r="AC42" t="e">
        <f t="shared" si="31"/>
        <v>#N/A</v>
      </c>
      <c r="AD42" t="e">
        <f t="shared" si="32"/>
        <v>#N/A</v>
      </c>
      <c r="AE42" t="e">
        <f t="shared" si="33"/>
        <v>#N/A</v>
      </c>
      <c r="AF42" s="12" t="e">
        <f>R42+COUNTIF($B42:B42,B42)-1</f>
        <v>#N/A</v>
      </c>
      <c r="AG42" s="12" t="e">
        <f>S42+COUNTIF($B42:C42,C42)-1</f>
        <v>#N/A</v>
      </c>
      <c r="AH42" s="12" t="e">
        <f>T42+COUNTIF($B42:D42,D42)-1</f>
        <v>#N/A</v>
      </c>
      <c r="AI42" s="12" t="e">
        <f>U42+COUNTIF($B42:E42,E42)-1</f>
        <v>#N/A</v>
      </c>
      <c r="AJ42" s="12" t="e">
        <f>V42+COUNTIF($B42:F42,F42)-1</f>
        <v>#N/A</v>
      </c>
      <c r="AK42" s="12" t="e">
        <f>W42+COUNTIF($B42:G42,G42)-1</f>
        <v>#N/A</v>
      </c>
      <c r="AL42" s="12" t="e">
        <f>X42+COUNTIF($B42:H42,H42)-1</f>
        <v>#N/A</v>
      </c>
      <c r="AM42" s="12" t="e">
        <f>Y42+COUNTIF($B42:I42,I42)-1</f>
        <v>#N/A</v>
      </c>
      <c r="AN42" s="12" t="e">
        <f>Z42+COUNTIF($B42:J42,J42)-1</f>
        <v>#N/A</v>
      </c>
      <c r="AO42" s="12" t="e">
        <f>AA42+COUNTIF($B42:K42,K42)-1</f>
        <v>#N/A</v>
      </c>
      <c r="AP42" s="12" t="e">
        <f>AB42+COUNTIF($B42:L42,L42)-1</f>
        <v>#N/A</v>
      </c>
      <c r="AQ42" s="12" t="e">
        <f>AC42+COUNTIF($B42:M42,M42)-1</f>
        <v>#N/A</v>
      </c>
      <c r="AR42" s="12" t="e">
        <f>AD42+COUNTIF($B42:N42,N42)-1</f>
        <v>#N/A</v>
      </c>
      <c r="AS42" s="12" t="e">
        <f>AE42+COUNTIF($B42:O42,O42)-1</f>
        <v>#N/A</v>
      </c>
      <c r="AT42" s="14">
        <f t="shared" si="34"/>
        <v>0</v>
      </c>
      <c r="AU42" s="11" t="e">
        <f t="shared" si="35"/>
        <v>#N/A</v>
      </c>
      <c r="AV42" s="15" t="e">
        <f t="shared" si="36"/>
        <v>#N/A</v>
      </c>
      <c r="AW42" s="11" t="e">
        <f t="shared" si="37"/>
        <v>#N/A</v>
      </c>
      <c r="AX42" s="15" t="e">
        <f t="shared" si="38"/>
        <v>#N/A</v>
      </c>
      <c r="AY42" s="11" t="e">
        <f t="shared" si="39"/>
        <v>#N/A</v>
      </c>
      <c r="AZ42" s="15" t="e">
        <f t="shared" si="40"/>
        <v>#N/A</v>
      </c>
      <c r="BA42" s="11" t="e">
        <f t="shared" si="41"/>
        <v>#N/A</v>
      </c>
      <c r="BB42" s="15" t="e">
        <f t="shared" si="42"/>
        <v>#N/A</v>
      </c>
      <c r="BC42" s="11" t="e">
        <f t="shared" si="43"/>
        <v>#N/A</v>
      </c>
      <c r="BD42" s="15" t="e">
        <f t="shared" si="44"/>
        <v>#N/A</v>
      </c>
      <c r="BE42" s="11" t="e">
        <f t="shared" si="45"/>
        <v>#N/A</v>
      </c>
      <c r="BF42" s="15" t="e">
        <f t="shared" si="46"/>
        <v>#N/A</v>
      </c>
    </row>
    <row r="43" spans="17:58">
      <c r="Q43">
        <f t="shared" si="19"/>
        <v>0</v>
      </c>
      <c r="R43" t="e">
        <f t="shared" si="20"/>
        <v>#N/A</v>
      </c>
      <c r="S43" t="e">
        <f t="shared" si="21"/>
        <v>#N/A</v>
      </c>
      <c r="T43" t="e">
        <f t="shared" si="22"/>
        <v>#N/A</v>
      </c>
      <c r="U43" t="e">
        <f t="shared" si="23"/>
        <v>#N/A</v>
      </c>
      <c r="V43" t="e">
        <f t="shared" si="24"/>
        <v>#N/A</v>
      </c>
      <c r="W43" t="e">
        <f t="shared" si="25"/>
        <v>#N/A</v>
      </c>
      <c r="X43" t="e">
        <f t="shared" si="26"/>
        <v>#N/A</v>
      </c>
      <c r="Y43" t="e">
        <f t="shared" si="27"/>
        <v>#N/A</v>
      </c>
      <c r="Z43" t="e">
        <f t="shared" si="28"/>
        <v>#N/A</v>
      </c>
      <c r="AA43" t="e">
        <f t="shared" si="29"/>
        <v>#N/A</v>
      </c>
      <c r="AB43" t="e">
        <f t="shared" si="30"/>
        <v>#N/A</v>
      </c>
      <c r="AC43" t="e">
        <f t="shared" si="31"/>
        <v>#N/A</v>
      </c>
      <c r="AD43" t="e">
        <f t="shared" si="32"/>
        <v>#N/A</v>
      </c>
      <c r="AE43" t="e">
        <f t="shared" si="33"/>
        <v>#N/A</v>
      </c>
      <c r="AF43" s="12" t="e">
        <f>R43+COUNTIF($B43:B43,B43)-1</f>
        <v>#N/A</v>
      </c>
      <c r="AG43" s="12" t="e">
        <f>S43+COUNTIF($B43:C43,C43)-1</f>
        <v>#N/A</v>
      </c>
      <c r="AH43" s="12" t="e">
        <f>T43+COUNTIF($B43:D43,D43)-1</f>
        <v>#N/A</v>
      </c>
      <c r="AI43" s="12" t="e">
        <f>U43+COUNTIF($B43:E43,E43)-1</f>
        <v>#N/A</v>
      </c>
      <c r="AJ43" s="12" t="e">
        <f>V43+COUNTIF($B43:F43,F43)-1</f>
        <v>#N/A</v>
      </c>
      <c r="AK43" s="12" t="e">
        <f>W43+COUNTIF($B43:G43,G43)-1</f>
        <v>#N/A</v>
      </c>
      <c r="AL43" s="12" t="e">
        <f>X43+COUNTIF($B43:H43,H43)-1</f>
        <v>#N/A</v>
      </c>
      <c r="AM43" s="12" t="e">
        <f>Y43+COUNTIF($B43:I43,I43)-1</f>
        <v>#N/A</v>
      </c>
      <c r="AN43" s="12" t="e">
        <f>Z43+COUNTIF($B43:J43,J43)-1</f>
        <v>#N/A</v>
      </c>
      <c r="AO43" s="12" t="e">
        <f>AA43+COUNTIF($B43:K43,K43)-1</f>
        <v>#N/A</v>
      </c>
      <c r="AP43" s="12" t="e">
        <f>AB43+COUNTIF($B43:L43,L43)-1</f>
        <v>#N/A</v>
      </c>
      <c r="AQ43" s="12" t="e">
        <f>AC43+COUNTIF($B43:M43,M43)-1</f>
        <v>#N/A</v>
      </c>
      <c r="AR43" s="12" t="e">
        <f>AD43+COUNTIF($B43:N43,N43)-1</f>
        <v>#N/A</v>
      </c>
      <c r="AS43" s="12" t="e">
        <f>AE43+COUNTIF($B43:O43,O43)-1</f>
        <v>#N/A</v>
      </c>
      <c r="AT43" s="14">
        <f t="shared" si="34"/>
        <v>0</v>
      </c>
      <c r="AU43" s="11" t="e">
        <f t="shared" si="35"/>
        <v>#N/A</v>
      </c>
      <c r="AV43" s="15" t="e">
        <f t="shared" si="36"/>
        <v>#N/A</v>
      </c>
      <c r="AW43" s="11" t="e">
        <f t="shared" si="37"/>
        <v>#N/A</v>
      </c>
      <c r="AX43" s="15" t="e">
        <f t="shared" si="38"/>
        <v>#N/A</v>
      </c>
      <c r="AY43" s="11" t="e">
        <f t="shared" si="39"/>
        <v>#N/A</v>
      </c>
      <c r="AZ43" s="15" t="e">
        <f t="shared" si="40"/>
        <v>#N/A</v>
      </c>
      <c r="BA43" s="11" t="e">
        <f t="shared" si="41"/>
        <v>#N/A</v>
      </c>
      <c r="BB43" s="15" t="e">
        <f t="shared" si="42"/>
        <v>#N/A</v>
      </c>
      <c r="BC43" s="11" t="e">
        <f t="shared" si="43"/>
        <v>#N/A</v>
      </c>
      <c r="BD43" s="15" t="e">
        <f t="shared" si="44"/>
        <v>#N/A</v>
      </c>
      <c r="BE43" s="11" t="e">
        <f t="shared" si="45"/>
        <v>#N/A</v>
      </c>
      <c r="BF43" s="15" t="e">
        <f t="shared" si="46"/>
        <v>#N/A</v>
      </c>
    </row>
    <row r="44" spans="17:58">
      <c r="Q44">
        <f t="shared" si="19"/>
        <v>0</v>
      </c>
      <c r="R44" t="e">
        <f t="shared" si="20"/>
        <v>#N/A</v>
      </c>
      <c r="S44" t="e">
        <f t="shared" si="21"/>
        <v>#N/A</v>
      </c>
      <c r="T44" t="e">
        <f t="shared" si="22"/>
        <v>#N/A</v>
      </c>
      <c r="U44" t="e">
        <f t="shared" si="23"/>
        <v>#N/A</v>
      </c>
      <c r="V44" t="e">
        <f t="shared" si="24"/>
        <v>#N/A</v>
      </c>
      <c r="W44" t="e">
        <f t="shared" si="25"/>
        <v>#N/A</v>
      </c>
      <c r="X44" t="e">
        <f t="shared" si="26"/>
        <v>#N/A</v>
      </c>
      <c r="Y44" t="e">
        <f t="shared" si="27"/>
        <v>#N/A</v>
      </c>
      <c r="Z44" t="e">
        <f t="shared" si="28"/>
        <v>#N/A</v>
      </c>
      <c r="AA44" t="e">
        <f t="shared" si="29"/>
        <v>#N/A</v>
      </c>
      <c r="AB44" t="e">
        <f t="shared" si="30"/>
        <v>#N/A</v>
      </c>
      <c r="AC44" t="e">
        <f t="shared" si="31"/>
        <v>#N/A</v>
      </c>
      <c r="AD44" t="e">
        <f t="shared" si="32"/>
        <v>#N/A</v>
      </c>
      <c r="AE44" t="e">
        <f t="shared" si="33"/>
        <v>#N/A</v>
      </c>
      <c r="AF44" s="12" t="e">
        <f>R44+COUNTIF($B44:B44,B44)-1</f>
        <v>#N/A</v>
      </c>
      <c r="AG44" s="12" t="e">
        <f>S44+COUNTIF($B44:C44,C44)-1</f>
        <v>#N/A</v>
      </c>
      <c r="AH44" s="12" t="e">
        <f>T44+COUNTIF($B44:D44,D44)-1</f>
        <v>#N/A</v>
      </c>
      <c r="AI44" s="12" t="e">
        <f>U44+COUNTIF($B44:E44,E44)-1</f>
        <v>#N/A</v>
      </c>
      <c r="AJ44" s="12" t="e">
        <f>V44+COUNTIF($B44:F44,F44)-1</f>
        <v>#N/A</v>
      </c>
      <c r="AK44" s="12" t="e">
        <f>W44+COUNTIF($B44:G44,G44)-1</f>
        <v>#N/A</v>
      </c>
      <c r="AL44" s="12" t="e">
        <f>X44+COUNTIF($B44:H44,H44)-1</f>
        <v>#N/A</v>
      </c>
      <c r="AM44" s="12" t="e">
        <f>Y44+COUNTIF($B44:I44,I44)-1</f>
        <v>#N/A</v>
      </c>
      <c r="AN44" s="12" t="e">
        <f>Z44+COUNTIF($B44:J44,J44)-1</f>
        <v>#N/A</v>
      </c>
      <c r="AO44" s="12" t="e">
        <f>AA44+COUNTIF($B44:K44,K44)-1</f>
        <v>#N/A</v>
      </c>
      <c r="AP44" s="12" t="e">
        <f>AB44+COUNTIF($B44:L44,L44)-1</f>
        <v>#N/A</v>
      </c>
      <c r="AQ44" s="12" t="e">
        <f>AC44+COUNTIF($B44:M44,M44)-1</f>
        <v>#N/A</v>
      </c>
      <c r="AR44" s="12" t="e">
        <f>AD44+COUNTIF($B44:N44,N44)-1</f>
        <v>#N/A</v>
      </c>
      <c r="AS44" s="12" t="e">
        <f>AE44+COUNTIF($B44:O44,O44)-1</f>
        <v>#N/A</v>
      </c>
      <c r="AT44" s="14">
        <f t="shared" si="34"/>
        <v>0</v>
      </c>
      <c r="AU44" s="11" t="e">
        <f t="shared" si="35"/>
        <v>#N/A</v>
      </c>
      <c r="AV44" s="15" t="e">
        <f t="shared" si="36"/>
        <v>#N/A</v>
      </c>
      <c r="AW44" s="11" t="e">
        <f t="shared" si="37"/>
        <v>#N/A</v>
      </c>
      <c r="AX44" s="15" t="e">
        <f t="shared" si="38"/>
        <v>#N/A</v>
      </c>
      <c r="AY44" s="11" t="e">
        <f t="shared" si="39"/>
        <v>#N/A</v>
      </c>
      <c r="AZ44" s="15" t="e">
        <f t="shared" si="40"/>
        <v>#N/A</v>
      </c>
      <c r="BA44" s="11" t="e">
        <f t="shared" si="41"/>
        <v>#N/A</v>
      </c>
      <c r="BB44" s="15" t="e">
        <f t="shared" si="42"/>
        <v>#N/A</v>
      </c>
      <c r="BC44" s="11" t="e">
        <f t="shared" si="43"/>
        <v>#N/A</v>
      </c>
      <c r="BD44" s="15" t="e">
        <f t="shared" si="44"/>
        <v>#N/A</v>
      </c>
      <c r="BE44" s="11" t="e">
        <f t="shared" si="45"/>
        <v>#N/A</v>
      </c>
      <c r="BF44" s="15" t="e">
        <f t="shared" si="46"/>
        <v>#N/A</v>
      </c>
    </row>
    <row r="45" spans="17:58">
      <c r="Q45">
        <f t="shared" si="19"/>
        <v>0</v>
      </c>
      <c r="R45" t="e">
        <f t="shared" si="20"/>
        <v>#N/A</v>
      </c>
      <c r="S45" t="e">
        <f t="shared" si="21"/>
        <v>#N/A</v>
      </c>
      <c r="T45" t="e">
        <f t="shared" si="22"/>
        <v>#N/A</v>
      </c>
      <c r="U45" t="e">
        <f t="shared" si="23"/>
        <v>#N/A</v>
      </c>
      <c r="V45" t="e">
        <f t="shared" si="24"/>
        <v>#N/A</v>
      </c>
      <c r="W45" t="e">
        <f t="shared" si="25"/>
        <v>#N/A</v>
      </c>
      <c r="X45" t="e">
        <f t="shared" si="26"/>
        <v>#N/A</v>
      </c>
      <c r="Y45" t="e">
        <f t="shared" si="27"/>
        <v>#N/A</v>
      </c>
      <c r="Z45" t="e">
        <f t="shared" si="28"/>
        <v>#N/A</v>
      </c>
      <c r="AA45" t="e">
        <f t="shared" si="29"/>
        <v>#N/A</v>
      </c>
      <c r="AB45" t="e">
        <f t="shared" si="30"/>
        <v>#N/A</v>
      </c>
      <c r="AC45" t="e">
        <f t="shared" si="31"/>
        <v>#N/A</v>
      </c>
      <c r="AD45" t="e">
        <f t="shared" si="32"/>
        <v>#N/A</v>
      </c>
      <c r="AE45" t="e">
        <f t="shared" si="33"/>
        <v>#N/A</v>
      </c>
      <c r="AF45" s="12" t="e">
        <f>R45+COUNTIF($B45:B45,B45)-1</f>
        <v>#N/A</v>
      </c>
      <c r="AG45" s="12" t="e">
        <f>S45+COUNTIF($B45:C45,C45)-1</f>
        <v>#N/A</v>
      </c>
      <c r="AH45" s="12" t="e">
        <f>T45+COUNTIF($B45:D45,D45)-1</f>
        <v>#N/A</v>
      </c>
      <c r="AI45" s="12" t="e">
        <f>U45+COUNTIF($B45:E45,E45)-1</f>
        <v>#N/A</v>
      </c>
      <c r="AJ45" s="12" t="e">
        <f>V45+COUNTIF($B45:F45,F45)-1</f>
        <v>#N/A</v>
      </c>
      <c r="AK45" s="12" t="e">
        <f>W45+COUNTIF($B45:G45,G45)-1</f>
        <v>#N/A</v>
      </c>
      <c r="AL45" s="12" t="e">
        <f>X45+COUNTIF($B45:H45,H45)-1</f>
        <v>#N/A</v>
      </c>
      <c r="AM45" s="12" t="e">
        <f>Y45+COUNTIF($B45:I45,I45)-1</f>
        <v>#N/A</v>
      </c>
      <c r="AN45" s="12" t="e">
        <f>Z45+COUNTIF($B45:J45,J45)-1</f>
        <v>#N/A</v>
      </c>
      <c r="AO45" s="12" t="e">
        <f>AA45+COUNTIF($B45:K45,K45)-1</f>
        <v>#N/A</v>
      </c>
      <c r="AP45" s="12" t="e">
        <f>AB45+COUNTIF($B45:L45,L45)-1</f>
        <v>#N/A</v>
      </c>
      <c r="AQ45" s="12" t="e">
        <f>AC45+COUNTIF($B45:M45,M45)-1</f>
        <v>#N/A</v>
      </c>
      <c r="AR45" s="12" t="e">
        <f>AD45+COUNTIF($B45:N45,N45)-1</f>
        <v>#N/A</v>
      </c>
      <c r="AS45" s="12" t="e">
        <f>AE45+COUNTIF($B45:O45,O45)-1</f>
        <v>#N/A</v>
      </c>
      <c r="AT45" s="14">
        <f t="shared" si="34"/>
        <v>0</v>
      </c>
      <c r="AU45" s="11" t="e">
        <f t="shared" si="35"/>
        <v>#N/A</v>
      </c>
      <c r="AV45" s="15" t="e">
        <f t="shared" si="36"/>
        <v>#N/A</v>
      </c>
      <c r="AW45" s="11" t="e">
        <f t="shared" si="37"/>
        <v>#N/A</v>
      </c>
      <c r="AX45" s="15" t="e">
        <f t="shared" si="38"/>
        <v>#N/A</v>
      </c>
      <c r="AY45" s="11" t="e">
        <f t="shared" si="39"/>
        <v>#N/A</v>
      </c>
      <c r="AZ45" s="15" t="e">
        <f t="shared" si="40"/>
        <v>#N/A</v>
      </c>
      <c r="BA45" s="11" t="e">
        <f t="shared" si="41"/>
        <v>#N/A</v>
      </c>
      <c r="BB45" s="15" t="e">
        <f t="shared" si="42"/>
        <v>#N/A</v>
      </c>
      <c r="BC45" s="11" t="e">
        <f t="shared" si="43"/>
        <v>#N/A</v>
      </c>
      <c r="BD45" s="15" t="e">
        <f t="shared" si="44"/>
        <v>#N/A</v>
      </c>
      <c r="BE45" s="11" t="e">
        <f t="shared" si="45"/>
        <v>#N/A</v>
      </c>
      <c r="BF45" s="15" t="e">
        <f t="shared" si="46"/>
        <v>#N/A</v>
      </c>
    </row>
    <row r="46" spans="17:58">
      <c r="Q46">
        <f t="shared" si="19"/>
        <v>0</v>
      </c>
      <c r="R46" t="e">
        <f t="shared" si="20"/>
        <v>#N/A</v>
      </c>
      <c r="S46" t="e">
        <f t="shared" si="21"/>
        <v>#N/A</v>
      </c>
      <c r="T46" t="e">
        <f t="shared" si="22"/>
        <v>#N/A</v>
      </c>
      <c r="U46" t="e">
        <f t="shared" si="23"/>
        <v>#N/A</v>
      </c>
      <c r="V46" t="e">
        <f t="shared" si="24"/>
        <v>#N/A</v>
      </c>
      <c r="W46" t="e">
        <f t="shared" si="25"/>
        <v>#N/A</v>
      </c>
      <c r="X46" t="e">
        <f t="shared" si="26"/>
        <v>#N/A</v>
      </c>
      <c r="Y46" t="e">
        <f t="shared" si="27"/>
        <v>#N/A</v>
      </c>
      <c r="Z46" t="e">
        <f t="shared" si="28"/>
        <v>#N/A</v>
      </c>
      <c r="AA46" t="e">
        <f t="shared" si="29"/>
        <v>#N/A</v>
      </c>
      <c r="AB46" t="e">
        <f t="shared" si="30"/>
        <v>#N/A</v>
      </c>
      <c r="AC46" t="e">
        <f t="shared" si="31"/>
        <v>#N/A</v>
      </c>
      <c r="AD46" t="e">
        <f t="shared" si="32"/>
        <v>#N/A</v>
      </c>
      <c r="AE46" t="e">
        <f t="shared" si="33"/>
        <v>#N/A</v>
      </c>
      <c r="AF46" s="12" t="e">
        <f>R46+COUNTIF($B46:B46,B46)-1</f>
        <v>#N/A</v>
      </c>
      <c r="AG46" s="12" t="e">
        <f>S46+COUNTIF($B46:C46,C46)-1</f>
        <v>#N/A</v>
      </c>
      <c r="AH46" s="12" t="e">
        <f>T46+COUNTIF($B46:D46,D46)-1</f>
        <v>#N/A</v>
      </c>
      <c r="AI46" s="12" t="e">
        <f>U46+COUNTIF($B46:E46,E46)-1</f>
        <v>#N/A</v>
      </c>
      <c r="AJ46" s="12" t="e">
        <f>V46+COUNTIF($B46:F46,F46)-1</f>
        <v>#N/A</v>
      </c>
      <c r="AK46" s="12" t="e">
        <f>W46+COUNTIF($B46:G46,G46)-1</f>
        <v>#N/A</v>
      </c>
      <c r="AL46" s="12" t="e">
        <f>X46+COUNTIF($B46:H46,H46)-1</f>
        <v>#N/A</v>
      </c>
      <c r="AM46" s="12" t="e">
        <f>Y46+COUNTIF($B46:I46,I46)-1</f>
        <v>#N/A</v>
      </c>
      <c r="AN46" s="12" t="e">
        <f>Z46+COUNTIF($B46:J46,J46)-1</f>
        <v>#N/A</v>
      </c>
      <c r="AO46" s="12" t="e">
        <f>AA46+COUNTIF($B46:K46,K46)-1</f>
        <v>#N/A</v>
      </c>
      <c r="AP46" s="12" t="e">
        <f>AB46+COUNTIF($B46:L46,L46)-1</f>
        <v>#N/A</v>
      </c>
      <c r="AQ46" s="12" t="e">
        <f>AC46+COUNTIF($B46:M46,M46)-1</f>
        <v>#N/A</v>
      </c>
      <c r="AR46" s="12" t="e">
        <f>AD46+COUNTIF($B46:N46,N46)-1</f>
        <v>#N/A</v>
      </c>
      <c r="AS46" s="12" t="e">
        <f>AE46+COUNTIF($B46:O46,O46)-1</f>
        <v>#N/A</v>
      </c>
      <c r="AT46" s="14">
        <f t="shared" si="34"/>
        <v>0</v>
      </c>
      <c r="AU46" s="11" t="e">
        <f t="shared" si="35"/>
        <v>#N/A</v>
      </c>
      <c r="AV46" s="15" t="e">
        <f t="shared" si="36"/>
        <v>#N/A</v>
      </c>
      <c r="AW46" s="11" t="e">
        <f t="shared" si="37"/>
        <v>#N/A</v>
      </c>
      <c r="AX46" s="15" t="e">
        <f t="shared" si="38"/>
        <v>#N/A</v>
      </c>
      <c r="AY46" s="11" t="e">
        <f t="shared" si="39"/>
        <v>#N/A</v>
      </c>
      <c r="AZ46" s="15" t="e">
        <f t="shared" si="40"/>
        <v>#N/A</v>
      </c>
      <c r="BA46" s="11" t="e">
        <f t="shared" si="41"/>
        <v>#N/A</v>
      </c>
      <c r="BB46" s="15" t="e">
        <f t="shared" si="42"/>
        <v>#N/A</v>
      </c>
      <c r="BC46" s="11" t="e">
        <f t="shared" si="43"/>
        <v>#N/A</v>
      </c>
      <c r="BD46" s="15" t="e">
        <f t="shared" si="44"/>
        <v>#N/A</v>
      </c>
      <c r="BE46" s="11" t="e">
        <f t="shared" si="45"/>
        <v>#N/A</v>
      </c>
      <c r="BF46" s="15" t="e">
        <f t="shared" si="46"/>
        <v>#N/A</v>
      </c>
    </row>
    <row r="47" spans="17:58">
      <c r="Q47">
        <f t="shared" si="19"/>
        <v>0</v>
      </c>
      <c r="R47" t="e">
        <f t="shared" si="20"/>
        <v>#N/A</v>
      </c>
      <c r="S47" t="e">
        <f t="shared" si="21"/>
        <v>#N/A</v>
      </c>
      <c r="T47" t="e">
        <f t="shared" si="22"/>
        <v>#N/A</v>
      </c>
      <c r="U47" t="e">
        <f t="shared" si="23"/>
        <v>#N/A</v>
      </c>
      <c r="V47" t="e">
        <f t="shared" si="24"/>
        <v>#N/A</v>
      </c>
      <c r="W47" t="e">
        <f t="shared" si="25"/>
        <v>#N/A</v>
      </c>
      <c r="X47" t="e">
        <f t="shared" si="26"/>
        <v>#N/A</v>
      </c>
      <c r="Y47" t="e">
        <f t="shared" si="27"/>
        <v>#N/A</v>
      </c>
      <c r="Z47" t="e">
        <f t="shared" si="28"/>
        <v>#N/A</v>
      </c>
      <c r="AA47" t="e">
        <f t="shared" si="29"/>
        <v>#N/A</v>
      </c>
      <c r="AB47" t="e">
        <f t="shared" si="30"/>
        <v>#N/A</v>
      </c>
      <c r="AC47" t="e">
        <f t="shared" si="31"/>
        <v>#N/A</v>
      </c>
      <c r="AD47" t="e">
        <f t="shared" si="32"/>
        <v>#N/A</v>
      </c>
      <c r="AE47" t="e">
        <f t="shared" si="33"/>
        <v>#N/A</v>
      </c>
      <c r="AF47" s="12" t="e">
        <f>R47+COUNTIF($B47:B47,B47)-1</f>
        <v>#N/A</v>
      </c>
      <c r="AG47" s="12" t="e">
        <f>S47+COUNTIF($B47:C47,C47)-1</f>
        <v>#N/A</v>
      </c>
      <c r="AH47" s="12" t="e">
        <f>T47+COUNTIF($B47:D47,D47)-1</f>
        <v>#N/A</v>
      </c>
      <c r="AI47" s="12" t="e">
        <f>U47+COUNTIF($B47:E47,E47)-1</f>
        <v>#N/A</v>
      </c>
      <c r="AJ47" s="12" t="e">
        <f>V47+COUNTIF($B47:F47,F47)-1</f>
        <v>#N/A</v>
      </c>
      <c r="AK47" s="12" t="e">
        <f>W47+COUNTIF($B47:G47,G47)-1</f>
        <v>#N/A</v>
      </c>
      <c r="AL47" s="12" t="e">
        <f>X47+COUNTIF($B47:H47,H47)-1</f>
        <v>#N/A</v>
      </c>
      <c r="AM47" s="12" t="e">
        <f>Y47+COUNTIF($B47:I47,I47)-1</f>
        <v>#N/A</v>
      </c>
      <c r="AN47" s="12" t="e">
        <f>Z47+COUNTIF($B47:J47,J47)-1</f>
        <v>#N/A</v>
      </c>
      <c r="AO47" s="12" t="e">
        <f>AA47+COUNTIF($B47:K47,K47)-1</f>
        <v>#N/A</v>
      </c>
      <c r="AP47" s="12" t="e">
        <f>AB47+COUNTIF($B47:L47,L47)-1</f>
        <v>#N/A</v>
      </c>
      <c r="AQ47" s="12" t="e">
        <f>AC47+COUNTIF($B47:M47,M47)-1</f>
        <v>#N/A</v>
      </c>
      <c r="AR47" s="12" t="e">
        <f>AD47+COUNTIF($B47:N47,N47)-1</f>
        <v>#N/A</v>
      </c>
      <c r="AS47" s="12" t="e">
        <f>AE47+COUNTIF($B47:O47,O47)-1</f>
        <v>#N/A</v>
      </c>
      <c r="AT47" s="14">
        <f t="shared" si="34"/>
        <v>0</v>
      </c>
      <c r="AU47" s="11" t="e">
        <f t="shared" si="35"/>
        <v>#N/A</v>
      </c>
      <c r="AV47" s="15" t="e">
        <f t="shared" si="36"/>
        <v>#N/A</v>
      </c>
      <c r="AW47" s="11" t="e">
        <f t="shared" si="37"/>
        <v>#N/A</v>
      </c>
      <c r="AX47" s="15" t="e">
        <f t="shared" si="38"/>
        <v>#N/A</v>
      </c>
      <c r="AY47" s="11" t="e">
        <f t="shared" si="39"/>
        <v>#N/A</v>
      </c>
      <c r="AZ47" s="15" t="e">
        <f t="shared" si="40"/>
        <v>#N/A</v>
      </c>
      <c r="BA47" s="11" t="e">
        <f t="shared" si="41"/>
        <v>#N/A</v>
      </c>
      <c r="BB47" s="15" t="e">
        <f t="shared" si="42"/>
        <v>#N/A</v>
      </c>
      <c r="BC47" s="11" t="e">
        <f t="shared" si="43"/>
        <v>#N/A</v>
      </c>
      <c r="BD47" s="15" t="e">
        <f t="shared" si="44"/>
        <v>#N/A</v>
      </c>
      <c r="BE47" s="11" t="e">
        <f t="shared" si="45"/>
        <v>#N/A</v>
      </c>
      <c r="BF47" s="15" t="e">
        <f t="shared" si="46"/>
        <v>#N/A</v>
      </c>
    </row>
    <row r="48" spans="17:58">
      <c r="Q48">
        <f t="shared" si="19"/>
        <v>0</v>
      </c>
      <c r="R48" t="e">
        <f t="shared" si="20"/>
        <v>#N/A</v>
      </c>
      <c r="S48" t="e">
        <f t="shared" si="21"/>
        <v>#N/A</v>
      </c>
      <c r="T48" t="e">
        <f t="shared" si="22"/>
        <v>#N/A</v>
      </c>
      <c r="U48" t="e">
        <f t="shared" si="23"/>
        <v>#N/A</v>
      </c>
      <c r="V48" t="e">
        <f t="shared" si="24"/>
        <v>#N/A</v>
      </c>
      <c r="W48" t="e">
        <f t="shared" si="25"/>
        <v>#N/A</v>
      </c>
      <c r="X48" t="e">
        <f t="shared" si="26"/>
        <v>#N/A</v>
      </c>
      <c r="Y48" t="e">
        <f t="shared" si="27"/>
        <v>#N/A</v>
      </c>
      <c r="Z48" t="e">
        <f t="shared" si="28"/>
        <v>#N/A</v>
      </c>
      <c r="AA48" t="e">
        <f t="shared" si="29"/>
        <v>#N/A</v>
      </c>
      <c r="AB48" t="e">
        <f t="shared" si="30"/>
        <v>#N/A</v>
      </c>
      <c r="AC48" t="e">
        <f t="shared" si="31"/>
        <v>#N/A</v>
      </c>
      <c r="AD48" t="e">
        <f t="shared" si="32"/>
        <v>#N/A</v>
      </c>
      <c r="AE48" t="e">
        <f t="shared" si="33"/>
        <v>#N/A</v>
      </c>
      <c r="AF48" s="12" t="e">
        <f>R48+COUNTIF($B48:B48,B48)-1</f>
        <v>#N/A</v>
      </c>
      <c r="AG48" s="12" t="e">
        <f>S48+COUNTIF($B48:C48,C48)-1</f>
        <v>#N/A</v>
      </c>
      <c r="AH48" s="12" t="e">
        <f>T48+COUNTIF($B48:D48,D48)-1</f>
        <v>#N/A</v>
      </c>
      <c r="AI48" s="12" t="e">
        <f>U48+COUNTIF($B48:E48,E48)-1</f>
        <v>#N/A</v>
      </c>
      <c r="AJ48" s="12" t="e">
        <f>V48+COUNTIF($B48:F48,F48)-1</f>
        <v>#N/A</v>
      </c>
      <c r="AK48" s="12" t="e">
        <f>W48+COUNTIF($B48:G48,G48)-1</f>
        <v>#N/A</v>
      </c>
      <c r="AL48" s="12" t="e">
        <f>X48+COUNTIF($B48:H48,H48)-1</f>
        <v>#N/A</v>
      </c>
      <c r="AM48" s="12" t="e">
        <f>Y48+COUNTIF($B48:I48,I48)-1</f>
        <v>#N/A</v>
      </c>
      <c r="AN48" s="12" t="e">
        <f>Z48+COUNTIF($B48:J48,J48)-1</f>
        <v>#N/A</v>
      </c>
      <c r="AO48" s="12" t="e">
        <f>AA48+COUNTIF($B48:K48,K48)-1</f>
        <v>#N/A</v>
      </c>
      <c r="AP48" s="12" t="e">
        <f>AB48+COUNTIF($B48:L48,L48)-1</f>
        <v>#N/A</v>
      </c>
      <c r="AQ48" s="12" t="e">
        <f>AC48+COUNTIF($B48:M48,M48)-1</f>
        <v>#N/A</v>
      </c>
      <c r="AR48" s="12" t="e">
        <f>AD48+COUNTIF($B48:N48,N48)-1</f>
        <v>#N/A</v>
      </c>
      <c r="AS48" s="12" t="e">
        <f>AE48+COUNTIF($B48:O48,O48)-1</f>
        <v>#N/A</v>
      </c>
      <c r="AT48" s="14">
        <f t="shared" si="34"/>
        <v>0</v>
      </c>
      <c r="AU48" s="11" t="e">
        <f t="shared" si="35"/>
        <v>#N/A</v>
      </c>
      <c r="AV48" s="15" t="e">
        <f t="shared" si="36"/>
        <v>#N/A</v>
      </c>
      <c r="AW48" s="11" t="e">
        <f t="shared" si="37"/>
        <v>#N/A</v>
      </c>
      <c r="AX48" s="15" t="e">
        <f t="shared" si="38"/>
        <v>#N/A</v>
      </c>
      <c r="AY48" s="11" t="e">
        <f t="shared" si="39"/>
        <v>#N/A</v>
      </c>
      <c r="AZ48" s="15" t="e">
        <f t="shared" si="40"/>
        <v>#N/A</v>
      </c>
      <c r="BA48" s="11" t="e">
        <f t="shared" si="41"/>
        <v>#N/A</v>
      </c>
      <c r="BB48" s="15" t="e">
        <f t="shared" si="42"/>
        <v>#N/A</v>
      </c>
      <c r="BC48" s="11" t="e">
        <f t="shared" si="43"/>
        <v>#N/A</v>
      </c>
      <c r="BD48" s="15" t="e">
        <f t="shared" si="44"/>
        <v>#N/A</v>
      </c>
      <c r="BE48" s="11" t="e">
        <f t="shared" si="45"/>
        <v>#N/A</v>
      </c>
      <c r="BF48" s="15" t="e">
        <f t="shared" si="46"/>
        <v>#N/A</v>
      </c>
    </row>
    <row r="49" spans="17:58">
      <c r="Q49">
        <f t="shared" si="19"/>
        <v>0</v>
      </c>
      <c r="R49" t="e">
        <f>_xlfn.RANK.EQ(B49,$B49:$O49,0)</f>
        <v>#N/A</v>
      </c>
      <c r="S49" t="e">
        <f t="shared" si="21"/>
        <v>#N/A</v>
      </c>
      <c r="T49" t="e">
        <f t="shared" si="22"/>
        <v>#N/A</v>
      </c>
      <c r="U49" t="e">
        <f t="shared" si="23"/>
        <v>#N/A</v>
      </c>
      <c r="V49" t="e">
        <f t="shared" si="24"/>
        <v>#N/A</v>
      </c>
      <c r="W49" t="e">
        <f t="shared" si="25"/>
        <v>#N/A</v>
      </c>
      <c r="X49" t="e">
        <f t="shared" si="26"/>
        <v>#N/A</v>
      </c>
      <c r="Y49" t="e">
        <f t="shared" si="27"/>
        <v>#N/A</v>
      </c>
      <c r="Z49" t="e">
        <f t="shared" si="28"/>
        <v>#N/A</v>
      </c>
      <c r="AA49" t="e">
        <f t="shared" si="29"/>
        <v>#N/A</v>
      </c>
      <c r="AB49" t="e">
        <f t="shared" si="30"/>
        <v>#N/A</v>
      </c>
      <c r="AC49" t="e">
        <f t="shared" si="31"/>
        <v>#N/A</v>
      </c>
      <c r="AD49" t="e">
        <f t="shared" si="32"/>
        <v>#N/A</v>
      </c>
      <c r="AE49" t="e">
        <f t="shared" si="33"/>
        <v>#N/A</v>
      </c>
      <c r="AF49" s="12" t="e">
        <f>R49+COUNTIF($B49:B49,B49)-1</f>
        <v>#N/A</v>
      </c>
      <c r="AG49" s="12" t="e">
        <f>S49+COUNTIF($B49:C49,C49)-1</f>
        <v>#N/A</v>
      </c>
      <c r="AH49" s="12" t="e">
        <f>T49+COUNTIF($B49:D49,D49)-1</f>
        <v>#N/A</v>
      </c>
      <c r="AI49" s="12" t="e">
        <f>U49+COUNTIF($B49:E49,E49)-1</f>
        <v>#N/A</v>
      </c>
      <c r="AJ49" s="12" t="e">
        <f>V49+COUNTIF($B49:F49,F49)-1</f>
        <v>#N/A</v>
      </c>
      <c r="AK49" s="12" t="e">
        <f>W49+COUNTIF($B49:G49,G49)-1</f>
        <v>#N/A</v>
      </c>
      <c r="AL49" s="12" t="e">
        <f>X49+COUNTIF($B49:H49,H49)-1</f>
        <v>#N/A</v>
      </c>
      <c r="AM49" s="12" t="e">
        <f>Y49+COUNTIF($B49:I49,I49)-1</f>
        <v>#N/A</v>
      </c>
      <c r="AN49" s="12" t="e">
        <f>Z49+COUNTIF($B49:J49,J49)-1</f>
        <v>#N/A</v>
      </c>
      <c r="AO49" s="12" t="e">
        <f>AA49+COUNTIF($B49:K49,K49)-1</f>
        <v>#N/A</v>
      </c>
      <c r="AP49" s="12" t="e">
        <f>AB49+COUNTIF($B49:L49,L49)-1</f>
        <v>#N/A</v>
      </c>
      <c r="AQ49" s="12" t="e">
        <f>AC49+COUNTIF($B49:M49,M49)-1</f>
        <v>#N/A</v>
      </c>
      <c r="AR49" s="12" t="e">
        <f>AD49+COUNTIF($B49:N49,N49)-1</f>
        <v>#N/A</v>
      </c>
      <c r="AS49" s="12" t="e">
        <f>AE49+COUNTIF($B49:O49,O49)-1</f>
        <v>#N/A</v>
      </c>
      <c r="AT49" s="14">
        <f t="shared" si="34"/>
        <v>0</v>
      </c>
      <c r="AU49" s="11" t="e">
        <f t="shared" si="35"/>
        <v>#N/A</v>
      </c>
      <c r="AV49" s="15" t="e">
        <f t="shared" si="36"/>
        <v>#N/A</v>
      </c>
      <c r="AW49" s="11" t="e">
        <f t="shared" si="37"/>
        <v>#N/A</v>
      </c>
      <c r="AX49" s="15" t="e">
        <f t="shared" si="38"/>
        <v>#N/A</v>
      </c>
      <c r="AY49" s="11" t="e">
        <f t="shared" si="39"/>
        <v>#N/A</v>
      </c>
      <c r="AZ49" s="15" t="e">
        <f t="shared" si="40"/>
        <v>#N/A</v>
      </c>
      <c r="BA49" s="11" t="e">
        <f t="shared" si="41"/>
        <v>#N/A</v>
      </c>
      <c r="BB49" s="15" t="e">
        <f t="shared" si="42"/>
        <v>#N/A</v>
      </c>
      <c r="BC49" s="11" t="e">
        <f t="shared" si="43"/>
        <v>#N/A</v>
      </c>
      <c r="BD49" s="15" t="e">
        <f t="shared" si="44"/>
        <v>#N/A</v>
      </c>
      <c r="BE49" s="11" t="e">
        <f t="shared" si="45"/>
        <v>#N/A</v>
      </c>
      <c r="BF49" s="15" t="e">
        <f t="shared" si="46"/>
        <v>#N/A</v>
      </c>
    </row>
    <row r="50" spans="17:58">
      <c r="Q50">
        <f t="shared" ref="Q50:Q60" si="47">SUM(B50:O50)</f>
        <v>0</v>
      </c>
      <c r="R50" t="e">
        <f t="shared" ref="R50:R59" si="48">_xlfn.RANK.EQ(B50,$B50:$O50,0)</f>
        <v>#N/A</v>
      </c>
      <c r="S50" t="e">
        <f t="shared" ref="S50:S60" si="49">_xlfn.RANK.EQ(C50,$B50:$O50,0)</f>
        <v>#N/A</v>
      </c>
      <c r="T50" t="e">
        <f t="shared" ref="T50:T60" si="50">_xlfn.RANK.EQ(D50,$B50:$O50,0)</f>
        <v>#N/A</v>
      </c>
      <c r="U50" t="e">
        <f t="shared" ref="U50:U60" si="51">_xlfn.RANK.EQ(E50,$B50:$O50,0)</f>
        <v>#N/A</v>
      </c>
      <c r="V50" t="e">
        <f t="shared" ref="V50:V60" si="52">_xlfn.RANK.EQ(F50,$B50:$O50,0)</f>
        <v>#N/A</v>
      </c>
      <c r="W50" t="e">
        <f t="shared" ref="W50:W60" si="53">_xlfn.RANK.EQ(G50,$B50:$O50,0)</f>
        <v>#N/A</v>
      </c>
      <c r="X50" t="e">
        <f t="shared" ref="X50:X60" si="54">_xlfn.RANK.EQ(H50,$B50:$O50,0)</f>
        <v>#N/A</v>
      </c>
      <c r="Y50" t="e">
        <f t="shared" ref="Y50:Y60" si="55">_xlfn.RANK.EQ(I50,$B50:$O50,0)</f>
        <v>#N/A</v>
      </c>
      <c r="Z50" t="e">
        <f t="shared" ref="Z50:Z60" si="56">_xlfn.RANK.EQ(J50,$B50:$O50,0)</f>
        <v>#N/A</v>
      </c>
      <c r="AA50" t="e">
        <f t="shared" ref="AA50:AA60" si="57">_xlfn.RANK.EQ(K50,$B50:$O50,0)</f>
        <v>#N/A</v>
      </c>
      <c r="AB50" t="e">
        <f t="shared" ref="AB50:AB60" si="58">_xlfn.RANK.EQ(L50,$B50:$O50,0)</f>
        <v>#N/A</v>
      </c>
      <c r="AC50" t="e">
        <f t="shared" ref="AC50:AC60" si="59">_xlfn.RANK.EQ(M50,$B50:$O50,0)</f>
        <v>#N/A</v>
      </c>
      <c r="AD50" t="e">
        <f t="shared" ref="AD50:AD60" si="60">_xlfn.RANK.EQ(N50,$B50:$O50,0)</f>
        <v>#N/A</v>
      </c>
      <c r="AE50" t="e">
        <f t="shared" ref="AE50:AE60" si="61">_xlfn.RANK.EQ(O50,$B50:$O50,0)</f>
        <v>#N/A</v>
      </c>
      <c r="AF50" s="12" t="e">
        <f>R50+COUNTIF($B50:B50,B50)-1</f>
        <v>#N/A</v>
      </c>
      <c r="AG50" s="12" t="e">
        <f>S50+COUNTIF($B50:C50,C50)-1</f>
        <v>#N/A</v>
      </c>
      <c r="AH50" s="12" t="e">
        <f>T50+COUNTIF($B50:D50,D50)-1</f>
        <v>#N/A</v>
      </c>
      <c r="AI50" s="12" t="e">
        <f>U50+COUNTIF($B50:E50,E50)-1</f>
        <v>#N/A</v>
      </c>
      <c r="AJ50" s="12" t="e">
        <f>V50+COUNTIF($B50:F50,F50)-1</f>
        <v>#N/A</v>
      </c>
      <c r="AK50" s="12" t="e">
        <f>W50+COUNTIF($B50:G50,G50)-1</f>
        <v>#N/A</v>
      </c>
      <c r="AL50" s="12" t="e">
        <f>X50+COUNTIF($B50:H50,H50)-1</f>
        <v>#N/A</v>
      </c>
      <c r="AM50" s="12" t="e">
        <f>Y50+COUNTIF($B50:I50,I50)-1</f>
        <v>#N/A</v>
      </c>
      <c r="AN50" s="12" t="e">
        <f>Z50+COUNTIF($B50:J50,J50)-1</f>
        <v>#N/A</v>
      </c>
      <c r="AO50" s="12" t="e">
        <f>AA50+COUNTIF($B50:K50,K50)-1</f>
        <v>#N/A</v>
      </c>
      <c r="AP50" s="12" t="e">
        <f>AB50+COUNTIF($B50:L50,L50)-1</f>
        <v>#N/A</v>
      </c>
      <c r="AQ50" s="12" t="e">
        <f>AC50+COUNTIF($B50:M50,M50)-1</f>
        <v>#N/A</v>
      </c>
      <c r="AR50" s="12" t="e">
        <f>AD50+COUNTIF($B50:N50,N50)-1</f>
        <v>#N/A</v>
      </c>
      <c r="AS50" s="12" t="e">
        <f>AE50+COUNTIF($B50:O50,O50)-1</f>
        <v>#N/A</v>
      </c>
      <c r="AT50" s="14">
        <f t="shared" si="34"/>
        <v>0</v>
      </c>
      <c r="AU50" s="11" t="e">
        <f t="shared" si="35"/>
        <v>#N/A</v>
      </c>
      <c r="AV50" s="15" t="e">
        <f t="shared" si="36"/>
        <v>#N/A</v>
      </c>
      <c r="AW50" s="11" t="e">
        <f t="shared" si="37"/>
        <v>#N/A</v>
      </c>
      <c r="AX50" s="15" t="e">
        <f t="shared" si="38"/>
        <v>#N/A</v>
      </c>
      <c r="AY50" s="11" t="e">
        <f t="shared" si="39"/>
        <v>#N/A</v>
      </c>
      <c r="AZ50" s="15" t="e">
        <f t="shared" si="40"/>
        <v>#N/A</v>
      </c>
      <c r="BA50" s="11" t="e">
        <f t="shared" si="41"/>
        <v>#N/A</v>
      </c>
      <c r="BB50" s="15" t="e">
        <f t="shared" si="42"/>
        <v>#N/A</v>
      </c>
      <c r="BC50" s="11" t="e">
        <f t="shared" si="43"/>
        <v>#N/A</v>
      </c>
      <c r="BD50" s="15" t="e">
        <f t="shared" si="44"/>
        <v>#N/A</v>
      </c>
      <c r="BE50" s="11" t="e">
        <f t="shared" si="45"/>
        <v>#N/A</v>
      </c>
      <c r="BF50" s="15" t="e">
        <f t="shared" si="46"/>
        <v>#N/A</v>
      </c>
    </row>
    <row r="51" spans="17:58">
      <c r="Q51">
        <f t="shared" si="47"/>
        <v>0</v>
      </c>
      <c r="R51" t="e">
        <f t="shared" si="48"/>
        <v>#N/A</v>
      </c>
      <c r="S51" t="e">
        <f t="shared" si="49"/>
        <v>#N/A</v>
      </c>
      <c r="T51" t="e">
        <f t="shared" si="50"/>
        <v>#N/A</v>
      </c>
      <c r="U51" t="e">
        <f t="shared" si="51"/>
        <v>#N/A</v>
      </c>
      <c r="V51" t="e">
        <f t="shared" si="52"/>
        <v>#N/A</v>
      </c>
      <c r="W51" t="e">
        <f t="shared" si="53"/>
        <v>#N/A</v>
      </c>
      <c r="X51" t="e">
        <f t="shared" si="54"/>
        <v>#N/A</v>
      </c>
      <c r="Y51" t="e">
        <f t="shared" si="55"/>
        <v>#N/A</v>
      </c>
      <c r="Z51" t="e">
        <f t="shared" si="56"/>
        <v>#N/A</v>
      </c>
      <c r="AA51" t="e">
        <f t="shared" si="57"/>
        <v>#N/A</v>
      </c>
      <c r="AB51" t="e">
        <f t="shared" si="58"/>
        <v>#N/A</v>
      </c>
      <c r="AC51" t="e">
        <f t="shared" si="59"/>
        <v>#N/A</v>
      </c>
      <c r="AD51" t="e">
        <f t="shared" si="60"/>
        <v>#N/A</v>
      </c>
      <c r="AE51" t="e">
        <f t="shared" si="61"/>
        <v>#N/A</v>
      </c>
      <c r="AF51" s="12" t="e">
        <f>R51+COUNTIF($B51:B51,B51)-1</f>
        <v>#N/A</v>
      </c>
      <c r="AG51" s="12" t="e">
        <f>S51+COUNTIF($B51:C51,C51)-1</f>
        <v>#N/A</v>
      </c>
      <c r="AH51" s="12" t="e">
        <f>T51+COUNTIF($B51:D51,D51)-1</f>
        <v>#N/A</v>
      </c>
      <c r="AI51" s="12" t="e">
        <f>U51+COUNTIF($B51:E51,E51)-1</f>
        <v>#N/A</v>
      </c>
      <c r="AJ51" s="12" t="e">
        <f>V51+COUNTIF($B51:F51,F51)-1</f>
        <v>#N/A</v>
      </c>
      <c r="AK51" s="12" t="e">
        <f>W51+COUNTIF($B51:G51,G51)-1</f>
        <v>#N/A</v>
      </c>
      <c r="AL51" s="12" t="e">
        <f>X51+COUNTIF($B51:H51,H51)-1</f>
        <v>#N/A</v>
      </c>
      <c r="AM51" s="12" t="e">
        <f>Y51+COUNTIF($B51:I51,I51)-1</f>
        <v>#N/A</v>
      </c>
      <c r="AN51" s="12" t="e">
        <f>Z51+COUNTIF($B51:J51,J51)-1</f>
        <v>#N/A</v>
      </c>
      <c r="AO51" s="12" t="e">
        <f>AA51+COUNTIF($B51:K51,K51)-1</f>
        <v>#N/A</v>
      </c>
      <c r="AP51" s="12" t="e">
        <f>AB51+COUNTIF($B51:L51,L51)-1</f>
        <v>#N/A</v>
      </c>
      <c r="AQ51" s="12" t="e">
        <f>AC51+COUNTIF($B51:M51,M51)-1</f>
        <v>#N/A</v>
      </c>
      <c r="AR51" s="12" t="e">
        <f>AD51+COUNTIF($B51:N51,N51)-1</f>
        <v>#N/A</v>
      </c>
      <c r="AS51" s="12" t="e">
        <f>AE51+COUNTIF($B51:O51,O51)-1</f>
        <v>#N/A</v>
      </c>
      <c r="AT51" s="14">
        <f t="shared" si="34"/>
        <v>0</v>
      </c>
      <c r="AU51" s="11" t="e">
        <f t="shared" si="35"/>
        <v>#N/A</v>
      </c>
      <c r="AV51" s="15" t="e">
        <f t="shared" si="36"/>
        <v>#N/A</v>
      </c>
      <c r="AW51" s="11" t="e">
        <f t="shared" si="37"/>
        <v>#N/A</v>
      </c>
      <c r="AX51" s="15" t="e">
        <f t="shared" si="38"/>
        <v>#N/A</v>
      </c>
      <c r="AY51" s="11" t="e">
        <f t="shared" si="39"/>
        <v>#N/A</v>
      </c>
      <c r="AZ51" s="15" t="e">
        <f t="shared" si="40"/>
        <v>#N/A</v>
      </c>
      <c r="BA51" s="11" t="e">
        <f t="shared" si="41"/>
        <v>#N/A</v>
      </c>
      <c r="BB51" s="15" t="e">
        <f t="shared" si="42"/>
        <v>#N/A</v>
      </c>
      <c r="BC51" s="11" t="e">
        <f t="shared" si="43"/>
        <v>#N/A</v>
      </c>
      <c r="BD51" s="15" t="e">
        <f t="shared" si="44"/>
        <v>#N/A</v>
      </c>
      <c r="BE51" s="11" t="e">
        <f t="shared" si="45"/>
        <v>#N/A</v>
      </c>
      <c r="BF51" s="15" t="e">
        <f t="shared" si="46"/>
        <v>#N/A</v>
      </c>
    </row>
    <row r="52" spans="17:58">
      <c r="Q52">
        <f t="shared" si="47"/>
        <v>0</v>
      </c>
      <c r="R52" t="e">
        <f t="shared" si="48"/>
        <v>#N/A</v>
      </c>
      <c r="S52" t="e">
        <f t="shared" si="49"/>
        <v>#N/A</v>
      </c>
      <c r="T52" t="e">
        <f t="shared" si="50"/>
        <v>#N/A</v>
      </c>
      <c r="U52" t="e">
        <f t="shared" si="51"/>
        <v>#N/A</v>
      </c>
      <c r="V52" t="e">
        <f t="shared" si="52"/>
        <v>#N/A</v>
      </c>
      <c r="W52" t="e">
        <f t="shared" si="53"/>
        <v>#N/A</v>
      </c>
      <c r="X52" t="e">
        <f t="shared" si="54"/>
        <v>#N/A</v>
      </c>
      <c r="Y52" t="e">
        <f t="shared" si="55"/>
        <v>#N/A</v>
      </c>
      <c r="Z52" t="e">
        <f t="shared" si="56"/>
        <v>#N/A</v>
      </c>
      <c r="AA52" t="e">
        <f t="shared" si="57"/>
        <v>#N/A</v>
      </c>
      <c r="AB52" t="e">
        <f t="shared" si="58"/>
        <v>#N/A</v>
      </c>
      <c r="AC52" t="e">
        <f t="shared" si="59"/>
        <v>#N/A</v>
      </c>
      <c r="AD52" t="e">
        <f t="shared" si="60"/>
        <v>#N/A</v>
      </c>
      <c r="AE52" t="e">
        <f t="shared" si="61"/>
        <v>#N/A</v>
      </c>
      <c r="AF52" s="12" t="e">
        <f>R52+COUNTIF($B52:B52,B52)-1</f>
        <v>#N/A</v>
      </c>
      <c r="AG52" s="12" t="e">
        <f>S52+COUNTIF($B52:C52,C52)-1</f>
        <v>#N/A</v>
      </c>
      <c r="AH52" s="12" t="e">
        <f>T52+COUNTIF($B52:D52,D52)-1</f>
        <v>#N/A</v>
      </c>
      <c r="AI52" s="12" t="e">
        <f>U52+COUNTIF($B52:E52,E52)-1</f>
        <v>#N/A</v>
      </c>
      <c r="AJ52" s="12" t="e">
        <f>V52+COUNTIF($B52:F52,F52)-1</f>
        <v>#N/A</v>
      </c>
      <c r="AK52" s="12" t="e">
        <f>W52+COUNTIF($B52:G52,G52)-1</f>
        <v>#N/A</v>
      </c>
      <c r="AL52" s="12" t="e">
        <f>X52+COUNTIF($B52:H52,H52)-1</f>
        <v>#N/A</v>
      </c>
      <c r="AM52" s="12" t="e">
        <f>Y52+COUNTIF($B52:I52,I52)-1</f>
        <v>#N/A</v>
      </c>
      <c r="AN52" s="12" t="e">
        <f>Z52+COUNTIF($B52:J52,J52)-1</f>
        <v>#N/A</v>
      </c>
      <c r="AO52" s="12" t="e">
        <f>AA52+COUNTIF($B52:K52,K52)-1</f>
        <v>#N/A</v>
      </c>
      <c r="AP52" s="12" t="e">
        <f>AB52+COUNTIF($B52:L52,L52)-1</f>
        <v>#N/A</v>
      </c>
      <c r="AQ52" s="12" t="e">
        <f>AC52+COUNTIF($B52:M52,M52)-1</f>
        <v>#N/A</v>
      </c>
      <c r="AR52" s="12" t="e">
        <f>AD52+COUNTIF($B52:N52,N52)-1</f>
        <v>#N/A</v>
      </c>
      <c r="AS52" s="12" t="e">
        <f>AE52+COUNTIF($B52:O52,O52)-1</f>
        <v>#N/A</v>
      </c>
      <c r="AT52" s="14">
        <f t="shared" si="34"/>
        <v>0</v>
      </c>
      <c r="AU52" s="11" t="e">
        <f t="shared" si="35"/>
        <v>#N/A</v>
      </c>
      <c r="AV52" s="15" t="e">
        <f t="shared" si="36"/>
        <v>#N/A</v>
      </c>
      <c r="AW52" s="11" t="e">
        <f t="shared" si="37"/>
        <v>#N/A</v>
      </c>
      <c r="AX52" s="15" t="e">
        <f t="shared" si="38"/>
        <v>#N/A</v>
      </c>
      <c r="AY52" s="11" t="e">
        <f t="shared" si="39"/>
        <v>#N/A</v>
      </c>
      <c r="AZ52" s="15" t="e">
        <f t="shared" si="40"/>
        <v>#N/A</v>
      </c>
      <c r="BA52" s="11" t="e">
        <f t="shared" si="41"/>
        <v>#N/A</v>
      </c>
      <c r="BB52" s="15" t="e">
        <f t="shared" si="42"/>
        <v>#N/A</v>
      </c>
      <c r="BC52" s="11" t="e">
        <f t="shared" si="43"/>
        <v>#N/A</v>
      </c>
      <c r="BD52" s="15" t="e">
        <f t="shared" si="44"/>
        <v>#N/A</v>
      </c>
      <c r="BE52" s="11" t="e">
        <f t="shared" si="45"/>
        <v>#N/A</v>
      </c>
      <c r="BF52" s="15" t="e">
        <f t="shared" si="46"/>
        <v>#N/A</v>
      </c>
    </row>
    <row r="53" spans="17:58">
      <c r="Q53">
        <f t="shared" si="47"/>
        <v>0</v>
      </c>
      <c r="R53" t="e">
        <f t="shared" si="48"/>
        <v>#N/A</v>
      </c>
      <c r="S53" t="e">
        <f t="shared" si="49"/>
        <v>#N/A</v>
      </c>
      <c r="T53" t="e">
        <f t="shared" si="50"/>
        <v>#N/A</v>
      </c>
      <c r="U53" t="e">
        <f t="shared" si="51"/>
        <v>#N/A</v>
      </c>
      <c r="V53" t="e">
        <f t="shared" si="52"/>
        <v>#N/A</v>
      </c>
      <c r="W53" t="e">
        <f t="shared" si="53"/>
        <v>#N/A</v>
      </c>
      <c r="X53" t="e">
        <f t="shared" si="54"/>
        <v>#N/A</v>
      </c>
      <c r="Y53" t="e">
        <f t="shared" si="55"/>
        <v>#N/A</v>
      </c>
      <c r="Z53" t="e">
        <f t="shared" si="56"/>
        <v>#N/A</v>
      </c>
      <c r="AA53" t="e">
        <f t="shared" si="57"/>
        <v>#N/A</v>
      </c>
      <c r="AB53" t="e">
        <f t="shared" si="58"/>
        <v>#N/A</v>
      </c>
      <c r="AC53" t="e">
        <f t="shared" si="59"/>
        <v>#N/A</v>
      </c>
      <c r="AD53" t="e">
        <f t="shared" si="60"/>
        <v>#N/A</v>
      </c>
      <c r="AE53" t="e">
        <f t="shared" si="61"/>
        <v>#N/A</v>
      </c>
      <c r="AF53" s="12" t="e">
        <f>R53+COUNTIF($B53:B53,B53)-1</f>
        <v>#N/A</v>
      </c>
      <c r="AG53" s="12" t="e">
        <f>S53+COUNTIF($B53:C53,C53)-1</f>
        <v>#N/A</v>
      </c>
      <c r="AH53" s="12" t="e">
        <f>T53+COUNTIF($B53:D53,D53)-1</f>
        <v>#N/A</v>
      </c>
      <c r="AI53" s="12" t="e">
        <f>U53+COUNTIF($B53:E53,E53)-1</f>
        <v>#N/A</v>
      </c>
      <c r="AJ53" s="12" t="e">
        <f>V53+COUNTIF($B53:F53,F53)-1</f>
        <v>#N/A</v>
      </c>
      <c r="AK53" s="12" t="e">
        <f>W53+COUNTIF($B53:G53,G53)-1</f>
        <v>#N/A</v>
      </c>
      <c r="AL53" s="12" t="e">
        <f>X53+COUNTIF($B53:H53,H53)-1</f>
        <v>#N/A</v>
      </c>
      <c r="AM53" s="12" t="e">
        <f>Y53+COUNTIF($B53:I53,I53)-1</f>
        <v>#N/A</v>
      </c>
      <c r="AN53" s="12" t="e">
        <f>Z53+COUNTIF($B53:J53,J53)-1</f>
        <v>#N/A</v>
      </c>
      <c r="AO53" s="12" t="e">
        <f>AA53+COUNTIF($B53:K53,K53)-1</f>
        <v>#N/A</v>
      </c>
      <c r="AP53" s="12" t="e">
        <f>AB53+COUNTIF($B53:L53,L53)-1</f>
        <v>#N/A</v>
      </c>
      <c r="AQ53" s="12" t="e">
        <f>AC53+COUNTIF($B53:M53,M53)-1</f>
        <v>#N/A</v>
      </c>
      <c r="AR53" s="12" t="e">
        <f>AD53+COUNTIF($B53:N53,N53)-1</f>
        <v>#N/A</v>
      </c>
      <c r="AS53" s="12" t="e">
        <f>AE53+COUNTIF($B53:O53,O53)-1</f>
        <v>#N/A</v>
      </c>
      <c r="AT53" s="14">
        <f t="shared" si="34"/>
        <v>0</v>
      </c>
      <c r="AU53" s="11" t="e">
        <f t="shared" si="35"/>
        <v>#N/A</v>
      </c>
      <c r="AV53" s="15" t="e">
        <f t="shared" si="36"/>
        <v>#N/A</v>
      </c>
      <c r="AW53" s="11" t="e">
        <f t="shared" si="37"/>
        <v>#N/A</v>
      </c>
      <c r="AX53" s="15" t="e">
        <f t="shared" si="38"/>
        <v>#N/A</v>
      </c>
      <c r="AY53" s="11" t="e">
        <f t="shared" si="39"/>
        <v>#N/A</v>
      </c>
      <c r="AZ53" s="15" t="e">
        <f t="shared" si="40"/>
        <v>#N/A</v>
      </c>
      <c r="BA53" s="11" t="e">
        <f t="shared" si="41"/>
        <v>#N/A</v>
      </c>
      <c r="BB53" s="15" t="e">
        <f t="shared" si="42"/>
        <v>#N/A</v>
      </c>
      <c r="BC53" s="11" t="e">
        <f t="shared" si="43"/>
        <v>#N/A</v>
      </c>
      <c r="BD53" s="15" t="e">
        <f t="shared" si="44"/>
        <v>#N/A</v>
      </c>
      <c r="BE53" s="11" t="e">
        <f t="shared" si="45"/>
        <v>#N/A</v>
      </c>
      <c r="BF53" s="15" t="e">
        <f t="shared" si="46"/>
        <v>#N/A</v>
      </c>
    </row>
    <row r="54" spans="17:58">
      <c r="Q54">
        <f t="shared" si="47"/>
        <v>0</v>
      </c>
      <c r="R54" t="e">
        <f t="shared" si="48"/>
        <v>#N/A</v>
      </c>
      <c r="S54" t="e">
        <f t="shared" si="49"/>
        <v>#N/A</v>
      </c>
      <c r="T54" t="e">
        <f t="shared" si="50"/>
        <v>#N/A</v>
      </c>
      <c r="U54" t="e">
        <f t="shared" si="51"/>
        <v>#N/A</v>
      </c>
      <c r="V54" t="e">
        <f t="shared" si="52"/>
        <v>#N/A</v>
      </c>
      <c r="W54" t="e">
        <f t="shared" si="53"/>
        <v>#N/A</v>
      </c>
      <c r="X54" t="e">
        <f t="shared" si="54"/>
        <v>#N/A</v>
      </c>
      <c r="Y54" t="e">
        <f t="shared" si="55"/>
        <v>#N/A</v>
      </c>
      <c r="Z54" t="e">
        <f t="shared" si="56"/>
        <v>#N/A</v>
      </c>
      <c r="AA54" t="e">
        <f t="shared" si="57"/>
        <v>#N/A</v>
      </c>
      <c r="AB54" t="e">
        <f t="shared" si="58"/>
        <v>#N/A</v>
      </c>
      <c r="AC54" t="e">
        <f t="shared" si="59"/>
        <v>#N/A</v>
      </c>
      <c r="AD54" t="e">
        <f t="shared" si="60"/>
        <v>#N/A</v>
      </c>
      <c r="AE54" t="e">
        <f t="shared" si="61"/>
        <v>#N/A</v>
      </c>
      <c r="AF54" s="12" t="e">
        <f>R54+COUNTIF($B54:B54,B54)-1</f>
        <v>#N/A</v>
      </c>
      <c r="AG54" s="12" t="e">
        <f>S54+COUNTIF($B54:C54,C54)-1</f>
        <v>#N/A</v>
      </c>
      <c r="AH54" s="12" t="e">
        <f>T54+COUNTIF($B54:D54,D54)-1</f>
        <v>#N/A</v>
      </c>
      <c r="AI54" s="12" t="e">
        <f>U54+COUNTIF($B54:E54,E54)-1</f>
        <v>#N/A</v>
      </c>
      <c r="AJ54" s="12" t="e">
        <f>V54+COUNTIF($B54:F54,F54)-1</f>
        <v>#N/A</v>
      </c>
      <c r="AK54" s="12" t="e">
        <f>W54+COUNTIF($B54:G54,G54)-1</f>
        <v>#N/A</v>
      </c>
      <c r="AL54" s="12" t="e">
        <f>X54+COUNTIF($B54:H54,H54)-1</f>
        <v>#N/A</v>
      </c>
      <c r="AM54" s="12" t="e">
        <f>Y54+COUNTIF($B54:I54,I54)-1</f>
        <v>#N/A</v>
      </c>
      <c r="AN54" s="12" t="e">
        <f>Z54+COUNTIF($B54:J54,J54)-1</f>
        <v>#N/A</v>
      </c>
      <c r="AO54" s="12" t="e">
        <f>AA54+COUNTIF($B54:K54,K54)-1</f>
        <v>#N/A</v>
      </c>
      <c r="AP54" s="12" t="e">
        <f>AB54+COUNTIF($B54:L54,L54)-1</f>
        <v>#N/A</v>
      </c>
      <c r="AQ54" s="12" t="e">
        <f>AC54+COUNTIF($B54:M54,M54)-1</f>
        <v>#N/A</v>
      </c>
      <c r="AR54" s="12" t="e">
        <f>AD54+COUNTIF($B54:N54,N54)-1</f>
        <v>#N/A</v>
      </c>
      <c r="AS54" s="12" t="e">
        <f>AE54+COUNTIF($B54:O54,O54)-1</f>
        <v>#N/A</v>
      </c>
      <c r="AT54" s="14">
        <f t="shared" si="34"/>
        <v>0</v>
      </c>
      <c r="AU54" s="11" t="e">
        <f t="shared" si="35"/>
        <v>#N/A</v>
      </c>
      <c r="AV54" s="15" t="e">
        <f t="shared" si="36"/>
        <v>#N/A</v>
      </c>
      <c r="AW54" s="11" t="e">
        <f t="shared" si="37"/>
        <v>#N/A</v>
      </c>
      <c r="AX54" s="15" t="e">
        <f t="shared" si="38"/>
        <v>#N/A</v>
      </c>
      <c r="AY54" s="11" t="e">
        <f t="shared" si="39"/>
        <v>#N/A</v>
      </c>
      <c r="AZ54" s="15" t="e">
        <f t="shared" si="40"/>
        <v>#N/A</v>
      </c>
      <c r="BA54" s="11" t="e">
        <f t="shared" si="41"/>
        <v>#N/A</v>
      </c>
      <c r="BB54" s="15" t="e">
        <f t="shared" si="42"/>
        <v>#N/A</v>
      </c>
      <c r="BC54" s="11" t="e">
        <f t="shared" si="43"/>
        <v>#N/A</v>
      </c>
      <c r="BD54" s="15" t="e">
        <f t="shared" si="44"/>
        <v>#N/A</v>
      </c>
      <c r="BE54" s="11" t="e">
        <f t="shared" si="45"/>
        <v>#N/A</v>
      </c>
      <c r="BF54" s="15" t="e">
        <f t="shared" si="46"/>
        <v>#N/A</v>
      </c>
    </row>
    <row r="55" spans="17:58">
      <c r="Q55">
        <f t="shared" si="47"/>
        <v>0</v>
      </c>
      <c r="R55" t="e">
        <f t="shared" si="48"/>
        <v>#N/A</v>
      </c>
      <c r="S55" t="e">
        <f t="shared" si="49"/>
        <v>#N/A</v>
      </c>
      <c r="T55" t="e">
        <f t="shared" si="50"/>
        <v>#N/A</v>
      </c>
      <c r="U55" t="e">
        <f t="shared" si="51"/>
        <v>#N/A</v>
      </c>
      <c r="V55" t="e">
        <f t="shared" si="52"/>
        <v>#N/A</v>
      </c>
      <c r="W55" t="e">
        <f t="shared" si="53"/>
        <v>#N/A</v>
      </c>
      <c r="X55" t="e">
        <f t="shared" si="54"/>
        <v>#N/A</v>
      </c>
      <c r="Y55" t="e">
        <f t="shared" si="55"/>
        <v>#N/A</v>
      </c>
      <c r="Z55" t="e">
        <f t="shared" si="56"/>
        <v>#N/A</v>
      </c>
      <c r="AA55" t="e">
        <f t="shared" si="57"/>
        <v>#N/A</v>
      </c>
      <c r="AB55" t="e">
        <f t="shared" si="58"/>
        <v>#N/A</v>
      </c>
      <c r="AC55" t="e">
        <f t="shared" si="59"/>
        <v>#N/A</v>
      </c>
      <c r="AD55" t="e">
        <f t="shared" si="60"/>
        <v>#N/A</v>
      </c>
      <c r="AE55" t="e">
        <f t="shared" si="61"/>
        <v>#N/A</v>
      </c>
      <c r="AF55" s="12" t="e">
        <f>R55+COUNTIF($B55:B55,B55)-1</f>
        <v>#N/A</v>
      </c>
      <c r="AG55" s="12" t="e">
        <f>S55+COUNTIF($B55:C55,C55)-1</f>
        <v>#N/A</v>
      </c>
      <c r="AH55" s="12" t="e">
        <f>T55+COUNTIF($B55:D55,D55)-1</f>
        <v>#N/A</v>
      </c>
      <c r="AI55" s="12" t="e">
        <f>U55+COUNTIF($B55:E55,E55)-1</f>
        <v>#N/A</v>
      </c>
      <c r="AJ55" s="12" t="e">
        <f>V55+COUNTIF($B55:F55,F55)-1</f>
        <v>#N/A</v>
      </c>
      <c r="AK55" s="12" t="e">
        <f>W55+COUNTIF($B55:G55,G55)-1</f>
        <v>#N/A</v>
      </c>
      <c r="AL55" s="12" t="e">
        <f>X55+COUNTIF($B55:H55,H55)-1</f>
        <v>#N/A</v>
      </c>
      <c r="AM55" s="12" t="e">
        <f>Y55+COUNTIF($B55:I55,I55)-1</f>
        <v>#N/A</v>
      </c>
      <c r="AN55" s="12" t="e">
        <f>Z55+COUNTIF($B55:J55,J55)-1</f>
        <v>#N/A</v>
      </c>
      <c r="AO55" s="12" t="e">
        <f>AA55+COUNTIF($B55:K55,K55)-1</f>
        <v>#N/A</v>
      </c>
      <c r="AP55" s="12" t="e">
        <f>AB55+COUNTIF($B55:L55,L55)-1</f>
        <v>#N/A</v>
      </c>
      <c r="AQ55" s="12" t="e">
        <f>AC55+COUNTIF($B55:M55,M55)-1</f>
        <v>#N/A</v>
      </c>
      <c r="AR55" s="12" t="e">
        <f>AD55+COUNTIF($B55:N55,N55)-1</f>
        <v>#N/A</v>
      </c>
      <c r="AS55" s="12" t="e">
        <f>AE55+COUNTIF($B55:O55,O55)-1</f>
        <v>#N/A</v>
      </c>
      <c r="AT55" s="14">
        <f t="shared" si="34"/>
        <v>0</v>
      </c>
      <c r="AU55" s="11" t="e">
        <f t="shared" si="35"/>
        <v>#N/A</v>
      </c>
      <c r="AV55" s="15" t="e">
        <f t="shared" si="36"/>
        <v>#N/A</v>
      </c>
      <c r="AW55" s="11" t="e">
        <f t="shared" si="37"/>
        <v>#N/A</v>
      </c>
      <c r="AX55" s="15" t="e">
        <f t="shared" si="38"/>
        <v>#N/A</v>
      </c>
      <c r="AY55" s="11" t="e">
        <f t="shared" si="39"/>
        <v>#N/A</v>
      </c>
      <c r="AZ55" s="15" t="e">
        <f t="shared" si="40"/>
        <v>#N/A</v>
      </c>
      <c r="BA55" s="11" t="e">
        <f t="shared" si="41"/>
        <v>#N/A</v>
      </c>
      <c r="BB55" s="15" t="e">
        <f t="shared" si="42"/>
        <v>#N/A</v>
      </c>
      <c r="BC55" s="11" t="e">
        <f t="shared" si="43"/>
        <v>#N/A</v>
      </c>
      <c r="BD55" s="15" t="e">
        <f t="shared" si="44"/>
        <v>#N/A</v>
      </c>
      <c r="BE55" s="11" t="e">
        <f t="shared" si="45"/>
        <v>#N/A</v>
      </c>
      <c r="BF55" s="15" t="e">
        <f t="shared" si="46"/>
        <v>#N/A</v>
      </c>
    </row>
    <row r="56" spans="17:58">
      <c r="Q56">
        <f t="shared" si="47"/>
        <v>0</v>
      </c>
      <c r="R56" t="e">
        <f t="shared" si="48"/>
        <v>#N/A</v>
      </c>
      <c r="S56" t="e">
        <f t="shared" si="49"/>
        <v>#N/A</v>
      </c>
      <c r="T56" t="e">
        <f t="shared" si="50"/>
        <v>#N/A</v>
      </c>
      <c r="U56" t="e">
        <f t="shared" si="51"/>
        <v>#N/A</v>
      </c>
      <c r="V56" t="e">
        <f t="shared" si="52"/>
        <v>#N/A</v>
      </c>
      <c r="W56" t="e">
        <f t="shared" si="53"/>
        <v>#N/A</v>
      </c>
      <c r="X56" t="e">
        <f t="shared" si="54"/>
        <v>#N/A</v>
      </c>
      <c r="Y56" t="e">
        <f t="shared" si="55"/>
        <v>#N/A</v>
      </c>
      <c r="Z56" t="e">
        <f t="shared" si="56"/>
        <v>#N/A</v>
      </c>
      <c r="AA56" t="e">
        <f t="shared" si="57"/>
        <v>#N/A</v>
      </c>
      <c r="AB56" t="e">
        <f t="shared" si="58"/>
        <v>#N/A</v>
      </c>
      <c r="AC56" t="e">
        <f t="shared" si="59"/>
        <v>#N/A</v>
      </c>
      <c r="AD56" t="e">
        <f t="shared" si="60"/>
        <v>#N/A</v>
      </c>
      <c r="AE56" t="e">
        <f t="shared" si="61"/>
        <v>#N/A</v>
      </c>
      <c r="AF56" s="12" t="e">
        <f>R56+COUNTIF($B56:B56,B56)-1</f>
        <v>#N/A</v>
      </c>
      <c r="AG56" s="12" t="e">
        <f>S56+COUNTIF($B56:C56,C56)-1</f>
        <v>#N/A</v>
      </c>
      <c r="AH56" s="12" t="e">
        <f>T56+COUNTIF($B56:D56,D56)-1</f>
        <v>#N/A</v>
      </c>
      <c r="AI56" s="12" t="e">
        <f>U56+COUNTIF($B56:E56,E56)-1</f>
        <v>#N/A</v>
      </c>
      <c r="AJ56" s="12" t="e">
        <f>V56+COUNTIF($B56:F56,F56)-1</f>
        <v>#N/A</v>
      </c>
      <c r="AK56" s="12" t="e">
        <f>W56+COUNTIF($B56:G56,G56)-1</f>
        <v>#N/A</v>
      </c>
      <c r="AL56" s="12" t="e">
        <f>X56+COUNTIF($B56:H56,H56)-1</f>
        <v>#N/A</v>
      </c>
      <c r="AM56" s="12" t="e">
        <f>Y56+COUNTIF($B56:I56,I56)-1</f>
        <v>#N/A</v>
      </c>
      <c r="AN56" s="12" t="e">
        <f>Z56+COUNTIF($B56:J56,J56)-1</f>
        <v>#N/A</v>
      </c>
      <c r="AO56" s="12" t="e">
        <f>AA56+COUNTIF($B56:K56,K56)-1</f>
        <v>#N/A</v>
      </c>
      <c r="AP56" s="12" t="e">
        <f>AB56+COUNTIF($B56:L56,L56)-1</f>
        <v>#N/A</v>
      </c>
      <c r="AQ56" s="12" t="e">
        <f>AC56+COUNTIF($B56:M56,M56)-1</f>
        <v>#N/A</v>
      </c>
      <c r="AR56" s="12" t="e">
        <f>AD56+COUNTIF($B56:N56,N56)-1</f>
        <v>#N/A</v>
      </c>
      <c r="AS56" s="12" t="e">
        <f>AE56+COUNTIF($B56:O56,O56)-1</f>
        <v>#N/A</v>
      </c>
      <c r="AT56" s="14">
        <f t="shared" si="34"/>
        <v>0</v>
      </c>
      <c r="AU56" s="11" t="e">
        <f t="shared" si="35"/>
        <v>#N/A</v>
      </c>
      <c r="AV56" s="15" t="e">
        <f t="shared" si="36"/>
        <v>#N/A</v>
      </c>
      <c r="AW56" s="11" t="e">
        <f t="shared" si="37"/>
        <v>#N/A</v>
      </c>
      <c r="AX56" s="15" t="e">
        <f t="shared" si="38"/>
        <v>#N/A</v>
      </c>
      <c r="AY56" s="11" t="e">
        <f t="shared" si="39"/>
        <v>#N/A</v>
      </c>
      <c r="AZ56" s="15" t="e">
        <f t="shared" si="40"/>
        <v>#N/A</v>
      </c>
      <c r="BA56" s="11" t="e">
        <f t="shared" si="41"/>
        <v>#N/A</v>
      </c>
      <c r="BB56" s="15" t="e">
        <f t="shared" si="42"/>
        <v>#N/A</v>
      </c>
      <c r="BC56" s="11" t="e">
        <f t="shared" si="43"/>
        <v>#N/A</v>
      </c>
      <c r="BD56" s="15" t="e">
        <f t="shared" si="44"/>
        <v>#N/A</v>
      </c>
      <c r="BE56" s="11" t="e">
        <f t="shared" si="45"/>
        <v>#N/A</v>
      </c>
      <c r="BF56" s="15" t="e">
        <f t="shared" si="46"/>
        <v>#N/A</v>
      </c>
    </row>
    <row r="57" spans="17:58">
      <c r="Q57">
        <f t="shared" si="47"/>
        <v>0</v>
      </c>
      <c r="R57" t="e">
        <f t="shared" si="48"/>
        <v>#N/A</v>
      </c>
      <c r="S57" t="e">
        <f t="shared" si="49"/>
        <v>#N/A</v>
      </c>
      <c r="T57" t="e">
        <f t="shared" si="50"/>
        <v>#N/A</v>
      </c>
      <c r="U57" t="e">
        <f t="shared" si="51"/>
        <v>#N/A</v>
      </c>
      <c r="V57" t="e">
        <f t="shared" si="52"/>
        <v>#N/A</v>
      </c>
      <c r="W57" t="e">
        <f t="shared" si="53"/>
        <v>#N/A</v>
      </c>
      <c r="X57" t="e">
        <f t="shared" si="54"/>
        <v>#N/A</v>
      </c>
      <c r="Y57" t="e">
        <f t="shared" si="55"/>
        <v>#N/A</v>
      </c>
      <c r="Z57" t="e">
        <f t="shared" si="56"/>
        <v>#N/A</v>
      </c>
      <c r="AA57" t="e">
        <f t="shared" si="57"/>
        <v>#N/A</v>
      </c>
      <c r="AB57" t="e">
        <f t="shared" si="58"/>
        <v>#N/A</v>
      </c>
      <c r="AC57" t="e">
        <f t="shared" si="59"/>
        <v>#N/A</v>
      </c>
      <c r="AD57" t="e">
        <f t="shared" si="60"/>
        <v>#N/A</v>
      </c>
      <c r="AE57" t="e">
        <f t="shared" si="61"/>
        <v>#N/A</v>
      </c>
      <c r="AF57" s="12" t="e">
        <f>R57+COUNTIF($B57:B57,B57)-1</f>
        <v>#N/A</v>
      </c>
      <c r="AG57" s="12" t="e">
        <f>S57+COUNTIF($B57:C57,C57)-1</f>
        <v>#N/A</v>
      </c>
      <c r="AH57" s="12" t="e">
        <f>T57+COUNTIF($B57:D57,D57)-1</f>
        <v>#N/A</v>
      </c>
      <c r="AI57" s="12" t="e">
        <f>U57+COUNTIF($B57:E57,E57)-1</f>
        <v>#N/A</v>
      </c>
      <c r="AJ57" s="12" t="e">
        <f>V57+COUNTIF($B57:F57,F57)-1</f>
        <v>#N/A</v>
      </c>
      <c r="AK57" s="12" t="e">
        <f>W57+COUNTIF($B57:G57,G57)-1</f>
        <v>#N/A</v>
      </c>
      <c r="AL57" s="12" t="e">
        <f>X57+COUNTIF($B57:H57,H57)-1</f>
        <v>#N/A</v>
      </c>
      <c r="AM57" s="12" t="e">
        <f>Y57+COUNTIF($B57:I57,I57)-1</f>
        <v>#N/A</v>
      </c>
      <c r="AN57" s="12" t="e">
        <f>Z57+COUNTIF($B57:J57,J57)-1</f>
        <v>#N/A</v>
      </c>
      <c r="AO57" s="12" t="e">
        <f>AA57+COUNTIF($B57:K57,K57)-1</f>
        <v>#N/A</v>
      </c>
      <c r="AP57" s="12" t="e">
        <f>AB57+COUNTIF($B57:L57,L57)-1</f>
        <v>#N/A</v>
      </c>
      <c r="AQ57" s="12" t="e">
        <f>AC57+COUNTIF($B57:M57,M57)-1</f>
        <v>#N/A</v>
      </c>
      <c r="AR57" s="12" t="e">
        <f>AD57+COUNTIF($B57:N57,N57)-1</f>
        <v>#N/A</v>
      </c>
      <c r="AS57" s="12" t="e">
        <f>AE57+COUNTIF($B57:O57,O57)-1</f>
        <v>#N/A</v>
      </c>
      <c r="AT57" s="14">
        <f t="shared" si="34"/>
        <v>0</v>
      </c>
      <c r="AU57" s="11" t="e">
        <f t="shared" si="35"/>
        <v>#N/A</v>
      </c>
      <c r="AV57" s="15" t="e">
        <f t="shared" si="36"/>
        <v>#N/A</v>
      </c>
      <c r="AW57" s="11" t="e">
        <f t="shared" si="37"/>
        <v>#N/A</v>
      </c>
      <c r="AX57" s="15" t="e">
        <f t="shared" si="38"/>
        <v>#N/A</v>
      </c>
      <c r="AY57" s="11" t="e">
        <f t="shared" si="39"/>
        <v>#N/A</v>
      </c>
      <c r="AZ57" s="15" t="e">
        <f t="shared" si="40"/>
        <v>#N/A</v>
      </c>
      <c r="BA57" s="11" t="e">
        <f t="shared" si="41"/>
        <v>#N/A</v>
      </c>
      <c r="BB57" s="15" t="e">
        <f t="shared" si="42"/>
        <v>#N/A</v>
      </c>
      <c r="BC57" s="11" t="e">
        <f t="shared" si="43"/>
        <v>#N/A</v>
      </c>
      <c r="BD57" s="15" t="e">
        <f t="shared" si="44"/>
        <v>#N/A</v>
      </c>
      <c r="BE57" s="11" t="e">
        <f t="shared" si="45"/>
        <v>#N/A</v>
      </c>
      <c r="BF57" s="15" t="e">
        <f t="shared" si="46"/>
        <v>#N/A</v>
      </c>
    </row>
    <row r="58" spans="17:58">
      <c r="Q58">
        <f t="shared" si="47"/>
        <v>0</v>
      </c>
      <c r="R58" t="e">
        <f t="shared" si="48"/>
        <v>#N/A</v>
      </c>
      <c r="S58" t="e">
        <f t="shared" si="49"/>
        <v>#N/A</v>
      </c>
      <c r="T58" t="e">
        <f t="shared" si="50"/>
        <v>#N/A</v>
      </c>
      <c r="U58" t="e">
        <f t="shared" si="51"/>
        <v>#N/A</v>
      </c>
      <c r="V58" t="e">
        <f t="shared" si="52"/>
        <v>#N/A</v>
      </c>
      <c r="W58" t="e">
        <f t="shared" si="53"/>
        <v>#N/A</v>
      </c>
      <c r="X58" t="e">
        <f t="shared" si="54"/>
        <v>#N/A</v>
      </c>
      <c r="Y58" t="e">
        <f t="shared" si="55"/>
        <v>#N/A</v>
      </c>
      <c r="Z58" t="e">
        <f t="shared" si="56"/>
        <v>#N/A</v>
      </c>
      <c r="AA58" t="e">
        <f t="shared" si="57"/>
        <v>#N/A</v>
      </c>
      <c r="AB58" t="e">
        <f t="shared" si="58"/>
        <v>#N/A</v>
      </c>
      <c r="AC58" t="e">
        <f t="shared" si="59"/>
        <v>#N/A</v>
      </c>
      <c r="AD58" t="e">
        <f t="shared" si="60"/>
        <v>#N/A</v>
      </c>
      <c r="AE58" t="e">
        <f t="shared" si="61"/>
        <v>#N/A</v>
      </c>
      <c r="AF58" s="12" t="e">
        <f>R58+COUNTIF($B58:B58,B58)-1</f>
        <v>#N/A</v>
      </c>
      <c r="AG58" s="12" t="e">
        <f>S58+COUNTIF($B58:C58,C58)-1</f>
        <v>#N/A</v>
      </c>
      <c r="AH58" s="12" t="e">
        <f>T58+COUNTIF($B58:D58,D58)-1</f>
        <v>#N/A</v>
      </c>
      <c r="AI58" s="12" t="e">
        <f>U58+COUNTIF($B58:E58,E58)-1</f>
        <v>#N/A</v>
      </c>
      <c r="AJ58" s="12" t="e">
        <f>V58+COUNTIF($B58:F58,F58)-1</f>
        <v>#N/A</v>
      </c>
      <c r="AK58" s="12" t="e">
        <f>W58+COUNTIF($B58:G58,G58)-1</f>
        <v>#N/A</v>
      </c>
      <c r="AL58" s="12" t="e">
        <f>X58+COUNTIF($B58:H58,H58)-1</f>
        <v>#N/A</v>
      </c>
      <c r="AM58" s="12" t="e">
        <f>Y58+COUNTIF($B58:I58,I58)-1</f>
        <v>#N/A</v>
      </c>
      <c r="AN58" s="12" t="e">
        <f>Z58+COUNTIF($B58:J58,J58)-1</f>
        <v>#N/A</v>
      </c>
      <c r="AO58" s="12" t="e">
        <f>AA58+COUNTIF($B58:K58,K58)-1</f>
        <v>#N/A</v>
      </c>
      <c r="AP58" s="12" t="e">
        <f>AB58+COUNTIF($B58:L58,L58)-1</f>
        <v>#N/A</v>
      </c>
      <c r="AQ58" s="12" t="e">
        <f>AC58+COUNTIF($B58:M58,M58)-1</f>
        <v>#N/A</v>
      </c>
      <c r="AR58" s="12" t="e">
        <f>AD58+COUNTIF($B58:N58,N58)-1</f>
        <v>#N/A</v>
      </c>
      <c r="AS58" s="12" t="e">
        <f>AE58+COUNTIF($B58:O58,O58)-1</f>
        <v>#N/A</v>
      </c>
      <c r="AT58" s="14">
        <f t="shared" si="34"/>
        <v>0</v>
      </c>
      <c r="AU58" s="11" t="e">
        <f t="shared" si="35"/>
        <v>#N/A</v>
      </c>
      <c r="AV58" s="15" t="e">
        <f t="shared" si="36"/>
        <v>#N/A</v>
      </c>
      <c r="AW58" s="11" t="e">
        <f t="shared" si="37"/>
        <v>#N/A</v>
      </c>
      <c r="AX58" s="15" t="e">
        <f t="shared" si="38"/>
        <v>#N/A</v>
      </c>
      <c r="AY58" s="11" t="e">
        <f t="shared" si="39"/>
        <v>#N/A</v>
      </c>
      <c r="AZ58" s="15" t="e">
        <f t="shared" si="40"/>
        <v>#N/A</v>
      </c>
      <c r="BA58" s="11" t="e">
        <f t="shared" si="41"/>
        <v>#N/A</v>
      </c>
      <c r="BB58" s="15" t="e">
        <f t="shared" si="42"/>
        <v>#N/A</v>
      </c>
      <c r="BC58" s="11" t="e">
        <f t="shared" si="43"/>
        <v>#N/A</v>
      </c>
      <c r="BD58" s="15" t="e">
        <f t="shared" si="44"/>
        <v>#N/A</v>
      </c>
      <c r="BE58" s="11" t="e">
        <f t="shared" si="45"/>
        <v>#N/A</v>
      </c>
      <c r="BF58" s="15" t="e">
        <f t="shared" si="46"/>
        <v>#N/A</v>
      </c>
    </row>
    <row r="59" spans="17:58">
      <c r="Q59">
        <f t="shared" si="47"/>
        <v>0</v>
      </c>
      <c r="R59" t="e">
        <f t="shared" si="48"/>
        <v>#N/A</v>
      </c>
      <c r="S59" t="e">
        <f t="shared" si="49"/>
        <v>#N/A</v>
      </c>
      <c r="T59" t="e">
        <f t="shared" si="50"/>
        <v>#N/A</v>
      </c>
      <c r="U59" t="e">
        <f t="shared" si="51"/>
        <v>#N/A</v>
      </c>
      <c r="V59" t="e">
        <f t="shared" si="52"/>
        <v>#N/A</v>
      </c>
      <c r="W59" t="e">
        <f t="shared" si="53"/>
        <v>#N/A</v>
      </c>
      <c r="X59" t="e">
        <f t="shared" si="54"/>
        <v>#N/A</v>
      </c>
      <c r="Y59" t="e">
        <f t="shared" si="55"/>
        <v>#N/A</v>
      </c>
      <c r="Z59" t="e">
        <f t="shared" si="56"/>
        <v>#N/A</v>
      </c>
      <c r="AA59" t="e">
        <f t="shared" si="57"/>
        <v>#N/A</v>
      </c>
      <c r="AB59" t="e">
        <f t="shared" si="58"/>
        <v>#N/A</v>
      </c>
      <c r="AC59" t="e">
        <f t="shared" si="59"/>
        <v>#N/A</v>
      </c>
      <c r="AD59" t="e">
        <f t="shared" si="60"/>
        <v>#N/A</v>
      </c>
      <c r="AE59" t="e">
        <f t="shared" si="61"/>
        <v>#N/A</v>
      </c>
      <c r="AF59" s="12" t="e">
        <f>R59+COUNTIF($B59:B59,B59)-1</f>
        <v>#N/A</v>
      </c>
      <c r="AG59" s="12" t="e">
        <f>S59+COUNTIF($B59:C59,C59)-1</f>
        <v>#N/A</v>
      </c>
      <c r="AH59" s="12" t="e">
        <f>T59+COUNTIF($B59:D59,D59)-1</f>
        <v>#N/A</v>
      </c>
      <c r="AI59" s="12" t="e">
        <f>U59+COUNTIF($B59:E59,E59)-1</f>
        <v>#N/A</v>
      </c>
      <c r="AJ59" s="12" t="e">
        <f>V59+COUNTIF($B59:F59,F59)-1</f>
        <v>#N/A</v>
      </c>
      <c r="AK59" s="12" t="e">
        <f>W59+COUNTIF($B59:G59,G59)-1</f>
        <v>#N/A</v>
      </c>
      <c r="AL59" s="12" t="e">
        <f>X59+COUNTIF($B59:H59,H59)-1</f>
        <v>#N/A</v>
      </c>
      <c r="AM59" s="12" t="e">
        <f>Y59+COUNTIF($B59:I59,I59)-1</f>
        <v>#N/A</v>
      </c>
      <c r="AN59" s="12" t="e">
        <f>Z59+COUNTIF($B59:J59,J59)-1</f>
        <v>#N/A</v>
      </c>
      <c r="AO59" s="12" t="e">
        <f>AA59+COUNTIF($B59:K59,K59)-1</f>
        <v>#N/A</v>
      </c>
      <c r="AP59" s="12" t="e">
        <f>AB59+COUNTIF($B59:L59,L59)-1</f>
        <v>#N/A</v>
      </c>
      <c r="AQ59" s="12" t="e">
        <f>AC59+COUNTIF($B59:M59,M59)-1</f>
        <v>#N/A</v>
      </c>
      <c r="AR59" s="12" t="e">
        <f>AD59+COUNTIF($B59:N59,N59)-1</f>
        <v>#N/A</v>
      </c>
      <c r="AS59" s="12" t="e">
        <f>AE59+COUNTIF($B59:O59,O59)-1</f>
        <v>#N/A</v>
      </c>
      <c r="AT59" s="14">
        <f t="shared" si="34"/>
        <v>0</v>
      </c>
      <c r="AU59" s="11" t="e">
        <f t="shared" si="35"/>
        <v>#N/A</v>
      </c>
      <c r="AV59" s="15" t="e">
        <f t="shared" si="36"/>
        <v>#N/A</v>
      </c>
      <c r="AW59" s="11" t="e">
        <f t="shared" si="37"/>
        <v>#N/A</v>
      </c>
      <c r="AX59" s="15" t="e">
        <f t="shared" si="38"/>
        <v>#N/A</v>
      </c>
      <c r="AY59" s="11" t="e">
        <f t="shared" si="39"/>
        <v>#N/A</v>
      </c>
      <c r="AZ59" s="15" t="e">
        <f t="shared" si="40"/>
        <v>#N/A</v>
      </c>
      <c r="BA59" s="11" t="e">
        <f t="shared" si="41"/>
        <v>#N/A</v>
      </c>
      <c r="BB59" s="15" t="e">
        <f t="shared" si="42"/>
        <v>#N/A</v>
      </c>
      <c r="BC59" s="11" t="e">
        <f t="shared" si="43"/>
        <v>#N/A</v>
      </c>
      <c r="BD59" s="15" t="e">
        <f t="shared" si="44"/>
        <v>#N/A</v>
      </c>
      <c r="BE59" s="11" t="e">
        <f t="shared" si="45"/>
        <v>#N/A</v>
      </c>
      <c r="BF59" s="15" t="e">
        <f t="shared" si="46"/>
        <v>#N/A</v>
      </c>
    </row>
    <row r="60" spans="17:58">
      <c r="Q60">
        <f t="shared" si="47"/>
        <v>0</v>
      </c>
      <c r="R60" t="e">
        <f>_xlfn.RANK.EQ(B60,$B60:$O60,0)</f>
        <v>#N/A</v>
      </c>
      <c r="S60" t="e">
        <f t="shared" si="49"/>
        <v>#N/A</v>
      </c>
      <c r="T60" t="e">
        <f t="shared" si="50"/>
        <v>#N/A</v>
      </c>
      <c r="U60" t="e">
        <f t="shared" si="51"/>
        <v>#N/A</v>
      </c>
      <c r="V60" t="e">
        <f t="shared" si="52"/>
        <v>#N/A</v>
      </c>
      <c r="W60" t="e">
        <f t="shared" si="53"/>
        <v>#N/A</v>
      </c>
      <c r="X60" t="e">
        <f t="shared" si="54"/>
        <v>#N/A</v>
      </c>
      <c r="Y60" t="e">
        <f t="shared" si="55"/>
        <v>#N/A</v>
      </c>
      <c r="Z60" t="e">
        <f t="shared" si="56"/>
        <v>#N/A</v>
      </c>
      <c r="AA60" t="e">
        <f t="shared" si="57"/>
        <v>#N/A</v>
      </c>
      <c r="AB60" t="e">
        <f t="shared" si="58"/>
        <v>#N/A</v>
      </c>
      <c r="AC60" t="e">
        <f t="shared" si="59"/>
        <v>#N/A</v>
      </c>
      <c r="AD60" t="e">
        <f t="shared" si="60"/>
        <v>#N/A</v>
      </c>
      <c r="AE60" t="e">
        <f t="shared" si="61"/>
        <v>#N/A</v>
      </c>
      <c r="AF60" s="12" t="e">
        <f>R60+COUNTIF($B60:B60,B60)-1</f>
        <v>#N/A</v>
      </c>
      <c r="AG60" s="12" t="e">
        <f>S60+COUNTIF($B60:C60,C60)-1</f>
        <v>#N/A</v>
      </c>
      <c r="AH60" s="12" t="e">
        <f>T60+COUNTIF($B60:D60,D60)-1</f>
        <v>#N/A</v>
      </c>
      <c r="AI60" s="12" t="e">
        <f>U60+COUNTIF($B60:E60,E60)-1</f>
        <v>#N/A</v>
      </c>
      <c r="AJ60" s="12" t="e">
        <f>V60+COUNTIF($B60:F60,F60)-1</f>
        <v>#N/A</v>
      </c>
      <c r="AK60" s="12" t="e">
        <f>W60+COUNTIF($B60:G60,G60)-1</f>
        <v>#N/A</v>
      </c>
      <c r="AL60" s="12" t="e">
        <f>X60+COUNTIF($B60:H60,H60)-1</f>
        <v>#N/A</v>
      </c>
      <c r="AM60" s="12" t="e">
        <f>Y60+COUNTIF($B60:I60,I60)-1</f>
        <v>#N/A</v>
      </c>
      <c r="AN60" s="12" t="e">
        <f>Z60+COUNTIF($B60:J60,J60)-1</f>
        <v>#N/A</v>
      </c>
      <c r="AO60" s="12" t="e">
        <f>AA60+COUNTIF($B60:K60,K60)-1</f>
        <v>#N/A</v>
      </c>
      <c r="AP60" s="12" t="e">
        <f>AB60+COUNTIF($B60:L60,L60)-1</f>
        <v>#N/A</v>
      </c>
      <c r="AQ60" s="12" t="e">
        <f>AC60+COUNTIF($B60:M60,M60)-1</f>
        <v>#N/A</v>
      </c>
      <c r="AR60" s="12" t="e">
        <f>AD60+COUNTIF($B60:N60,N60)-1</f>
        <v>#N/A</v>
      </c>
      <c r="AS60" s="12" t="e">
        <f>AE60+COUNTIF($B60:O60,O60)-1</f>
        <v>#N/A</v>
      </c>
      <c r="AT60" s="14">
        <f t="shared" si="34"/>
        <v>0</v>
      </c>
      <c r="AU60" s="11" t="e">
        <f t="shared" si="35"/>
        <v>#N/A</v>
      </c>
      <c r="AV60" s="15" t="e">
        <f t="shared" si="36"/>
        <v>#N/A</v>
      </c>
      <c r="AW60" s="11" t="e">
        <f t="shared" si="37"/>
        <v>#N/A</v>
      </c>
      <c r="AX60" s="15" t="e">
        <f t="shared" si="38"/>
        <v>#N/A</v>
      </c>
      <c r="AY60" s="11" t="e">
        <f t="shared" si="39"/>
        <v>#N/A</v>
      </c>
      <c r="AZ60" s="15" t="e">
        <f t="shared" si="40"/>
        <v>#N/A</v>
      </c>
      <c r="BA60" s="11" t="e">
        <f t="shared" si="41"/>
        <v>#N/A</v>
      </c>
      <c r="BB60" s="15" t="e">
        <f t="shared" si="42"/>
        <v>#N/A</v>
      </c>
      <c r="BC60" s="11" t="e">
        <f t="shared" si="43"/>
        <v>#N/A</v>
      </c>
      <c r="BD60" s="15" t="e">
        <f t="shared" si="44"/>
        <v>#N/A</v>
      </c>
      <c r="BE60" s="11" t="e">
        <f t="shared" si="45"/>
        <v>#N/A</v>
      </c>
      <c r="BF60" s="15" t="e">
        <f t="shared" si="46"/>
        <v>#N/A</v>
      </c>
    </row>
    <row r="61" spans="17:58">
      <c r="Q61">
        <f t="shared" ref="Q61:Q63" si="62">SUM(B61:O61)</f>
        <v>0</v>
      </c>
      <c r="R61" t="e">
        <f t="shared" ref="R61:R63" si="63">_xlfn.RANK.EQ(B61,$B61:$O61,0)</f>
        <v>#N/A</v>
      </c>
      <c r="S61" t="e">
        <f t="shared" ref="S61:S63" si="64">_xlfn.RANK.EQ(C61,$B61:$O61,0)</f>
        <v>#N/A</v>
      </c>
      <c r="T61" t="e">
        <f t="shared" ref="T61:T63" si="65">_xlfn.RANK.EQ(D61,$B61:$O61,0)</f>
        <v>#N/A</v>
      </c>
      <c r="U61" t="e">
        <f t="shared" ref="U61:U63" si="66">_xlfn.RANK.EQ(E61,$B61:$O61,0)</f>
        <v>#N/A</v>
      </c>
      <c r="V61" t="e">
        <f t="shared" ref="V61:V63" si="67">_xlfn.RANK.EQ(F61,$B61:$O61,0)</f>
        <v>#N/A</v>
      </c>
      <c r="W61" t="e">
        <f t="shared" ref="W61:W63" si="68">_xlfn.RANK.EQ(G61,$B61:$O61,0)</f>
        <v>#N/A</v>
      </c>
      <c r="X61" t="e">
        <f t="shared" ref="X61:X63" si="69">_xlfn.RANK.EQ(H61,$B61:$O61,0)</f>
        <v>#N/A</v>
      </c>
      <c r="Y61" t="e">
        <f t="shared" ref="Y61:Y63" si="70">_xlfn.RANK.EQ(I61,$B61:$O61,0)</f>
        <v>#N/A</v>
      </c>
      <c r="Z61" t="e">
        <f t="shared" ref="Z61:Z63" si="71">_xlfn.RANK.EQ(J61,$B61:$O61,0)</f>
        <v>#N/A</v>
      </c>
      <c r="AA61" t="e">
        <f t="shared" ref="AA61:AA63" si="72">_xlfn.RANK.EQ(K61,$B61:$O61,0)</f>
        <v>#N/A</v>
      </c>
      <c r="AB61" t="e">
        <f t="shared" ref="AB61:AB63" si="73">_xlfn.RANK.EQ(L61,$B61:$O61,0)</f>
        <v>#N/A</v>
      </c>
      <c r="AC61" t="e">
        <f t="shared" ref="AC61:AC63" si="74">_xlfn.RANK.EQ(M61,$B61:$O61,0)</f>
        <v>#N/A</v>
      </c>
      <c r="AD61" t="e">
        <f t="shared" ref="AD61:AD63" si="75">_xlfn.RANK.EQ(N61,$B61:$O61,0)</f>
        <v>#N/A</v>
      </c>
      <c r="AE61" t="e">
        <f t="shared" ref="AE61:AE63" si="76">_xlfn.RANK.EQ(O61,$B61:$O61,0)</f>
        <v>#N/A</v>
      </c>
      <c r="AF61" s="12" t="e">
        <f>R61+COUNTIF($B61:B61,B61)-1</f>
        <v>#N/A</v>
      </c>
      <c r="AG61" s="12" t="e">
        <f>S61+COUNTIF($B61:C61,C61)-1</f>
        <v>#N/A</v>
      </c>
      <c r="AH61" s="12" t="e">
        <f>T61+COUNTIF($B61:D61,D61)-1</f>
        <v>#N/A</v>
      </c>
      <c r="AI61" s="12" t="e">
        <f>U61+COUNTIF($B61:E61,E61)-1</f>
        <v>#N/A</v>
      </c>
      <c r="AJ61" s="12" t="e">
        <f>V61+COUNTIF($B61:F61,F61)-1</f>
        <v>#N/A</v>
      </c>
      <c r="AK61" s="12" t="e">
        <f>W61+COUNTIF($B61:G61,G61)-1</f>
        <v>#N/A</v>
      </c>
      <c r="AL61" s="12" t="e">
        <f>X61+COUNTIF($B61:H61,H61)-1</f>
        <v>#N/A</v>
      </c>
      <c r="AM61" s="12" t="e">
        <f>Y61+COUNTIF($B61:I61,I61)-1</f>
        <v>#N/A</v>
      </c>
      <c r="AN61" s="12" t="e">
        <f>Z61+COUNTIF($B61:J61,J61)-1</f>
        <v>#N/A</v>
      </c>
      <c r="AO61" s="12" t="e">
        <f>AA61+COUNTIF($B61:K61,K61)-1</f>
        <v>#N/A</v>
      </c>
      <c r="AP61" s="12" t="e">
        <f>AB61+COUNTIF($B61:L61,L61)-1</f>
        <v>#N/A</v>
      </c>
      <c r="AQ61" s="12" t="e">
        <f>AC61+COUNTIF($B61:M61,M61)-1</f>
        <v>#N/A</v>
      </c>
      <c r="AR61" s="12" t="e">
        <f>AD61+COUNTIF($B61:N61,N61)-1</f>
        <v>#N/A</v>
      </c>
      <c r="AS61" s="12" t="e">
        <f>AE61+COUNTIF($B61:O61,O61)-1</f>
        <v>#N/A</v>
      </c>
      <c r="AT61" s="14">
        <f t="shared" si="34"/>
        <v>0</v>
      </c>
      <c r="AU61" s="11" t="e">
        <f t="shared" si="35"/>
        <v>#N/A</v>
      </c>
      <c r="AV61" s="15" t="e">
        <f t="shared" si="36"/>
        <v>#N/A</v>
      </c>
      <c r="AW61" s="11" t="e">
        <f t="shared" si="37"/>
        <v>#N/A</v>
      </c>
      <c r="AX61" s="15" t="e">
        <f t="shared" si="38"/>
        <v>#N/A</v>
      </c>
      <c r="AY61" s="11" t="e">
        <f t="shared" si="39"/>
        <v>#N/A</v>
      </c>
      <c r="AZ61" s="15" t="e">
        <f t="shared" si="40"/>
        <v>#N/A</v>
      </c>
      <c r="BA61" s="11" t="e">
        <f t="shared" si="41"/>
        <v>#N/A</v>
      </c>
      <c r="BB61" s="15" t="e">
        <f t="shared" si="42"/>
        <v>#N/A</v>
      </c>
      <c r="BC61" s="11" t="e">
        <f t="shared" si="43"/>
        <v>#N/A</v>
      </c>
      <c r="BD61" s="15" t="e">
        <f t="shared" si="44"/>
        <v>#N/A</v>
      </c>
      <c r="BE61" s="11" t="e">
        <f t="shared" si="45"/>
        <v>#N/A</v>
      </c>
      <c r="BF61" s="15" t="e">
        <f t="shared" si="46"/>
        <v>#N/A</v>
      </c>
    </row>
    <row r="62" spans="17:58">
      <c r="Q62">
        <f t="shared" si="62"/>
        <v>0</v>
      </c>
      <c r="R62" t="e">
        <f t="shared" si="63"/>
        <v>#N/A</v>
      </c>
      <c r="S62" t="e">
        <f t="shared" si="64"/>
        <v>#N/A</v>
      </c>
      <c r="T62" t="e">
        <f t="shared" si="65"/>
        <v>#N/A</v>
      </c>
      <c r="U62" t="e">
        <f t="shared" si="66"/>
        <v>#N/A</v>
      </c>
      <c r="V62" t="e">
        <f t="shared" si="67"/>
        <v>#N/A</v>
      </c>
      <c r="W62" t="e">
        <f t="shared" si="68"/>
        <v>#N/A</v>
      </c>
      <c r="X62" t="e">
        <f t="shared" si="69"/>
        <v>#N/A</v>
      </c>
      <c r="Y62" t="e">
        <f t="shared" si="70"/>
        <v>#N/A</v>
      </c>
      <c r="Z62" t="e">
        <f t="shared" si="71"/>
        <v>#N/A</v>
      </c>
      <c r="AA62" t="e">
        <f t="shared" si="72"/>
        <v>#N/A</v>
      </c>
      <c r="AB62" t="e">
        <f t="shared" si="73"/>
        <v>#N/A</v>
      </c>
      <c r="AC62" t="e">
        <f t="shared" si="74"/>
        <v>#N/A</v>
      </c>
      <c r="AD62" t="e">
        <f t="shared" si="75"/>
        <v>#N/A</v>
      </c>
      <c r="AE62" t="e">
        <f t="shared" si="76"/>
        <v>#N/A</v>
      </c>
      <c r="AF62" s="12" t="e">
        <f>R62+COUNTIF($B62:B62,B62)-1</f>
        <v>#N/A</v>
      </c>
      <c r="AG62" s="12" t="e">
        <f>S62+COUNTIF($B62:C62,C62)-1</f>
        <v>#N/A</v>
      </c>
      <c r="AH62" s="12" t="e">
        <f>T62+COUNTIF($B62:D62,D62)-1</f>
        <v>#N/A</v>
      </c>
      <c r="AI62" s="12" t="e">
        <f>U62+COUNTIF($B62:E62,E62)-1</f>
        <v>#N/A</v>
      </c>
      <c r="AJ62" s="12" t="e">
        <f>V62+COUNTIF($B62:F62,F62)-1</f>
        <v>#N/A</v>
      </c>
      <c r="AK62" s="12" t="e">
        <f>W62+COUNTIF($B62:G62,G62)-1</f>
        <v>#N/A</v>
      </c>
      <c r="AL62" s="12" t="e">
        <f>X62+COUNTIF($B62:H62,H62)-1</f>
        <v>#N/A</v>
      </c>
      <c r="AM62" s="12" t="e">
        <f>Y62+COUNTIF($B62:I62,I62)-1</f>
        <v>#N/A</v>
      </c>
      <c r="AN62" s="12" t="e">
        <f>Z62+COUNTIF($B62:J62,J62)-1</f>
        <v>#N/A</v>
      </c>
      <c r="AO62" s="12" t="e">
        <f>AA62+COUNTIF($B62:K62,K62)-1</f>
        <v>#N/A</v>
      </c>
      <c r="AP62" s="12" t="e">
        <f>AB62+COUNTIF($B62:L62,L62)-1</f>
        <v>#N/A</v>
      </c>
      <c r="AQ62" s="12" t="e">
        <f>AC62+COUNTIF($B62:M62,M62)-1</f>
        <v>#N/A</v>
      </c>
      <c r="AR62" s="12" t="e">
        <f>AD62+COUNTIF($B62:N62,N62)-1</f>
        <v>#N/A</v>
      </c>
      <c r="AS62" s="12" t="e">
        <f>AE62+COUNTIF($B62:O62,O62)-1</f>
        <v>#N/A</v>
      </c>
      <c r="AT62" s="14">
        <f t="shared" si="34"/>
        <v>0</v>
      </c>
      <c r="AU62" s="11" t="e">
        <f t="shared" si="35"/>
        <v>#N/A</v>
      </c>
      <c r="AV62" s="15" t="e">
        <f t="shared" si="36"/>
        <v>#N/A</v>
      </c>
      <c r="AW62" s="11" t="e">
        <f t="shared" si="37"/>
        <v>#N/A</v>
      </c>
      <c r="AX62" s="15" t="e">
        <f t="shared" si="38"/>
        <v>#N/A</v>
      </c>
      <c r="AY62" s="11" t="e">
        <f t="shared" si="39"/>
        <v>#N/A</v>
      </c>
      <c r="AZ62" s="15" t="e">
        <f t="shared" si="40"/>
        <v>#N/A</v>
      </c>
      <c r="BA62" s="11" t="e">
        <f t="shared" si="41"/>
        <v>#N/A</v>
      </c>
      <c r="BB62" s="15" t="e">
        <f t="shared" si="42"/>
        <v>#N/A</v>
      </c>
      <c r="BC62" s="11" t="e">
        <f t="shared" si="43"/>
        <v>#N/A</v>
      </c>
      <c r="BD62" s="15" t="e">
        <f t="shared" si="44"/>
        <v>#N/A</v>
      </c>
      <c r="BE62" s="11" t="e">
        <f t="shared" si="45"/>
        <v>#N/A</v>
      </c>
      <c r="BF62" s="15" t="e">
        <f t="shared" si="46"/>
        <v>#N/A</v>
      </c>
    </row>
    <row r="63" spans="17:58">
      <c r="Q63">
        <f t="shared" si="62"/>
        <v>0</v>
      </c>
      <c r="R63" t="e">
        <f t="shared" si="63"/>
        <v>#N/A</v>
      </c>
      <c r="S63" t="e">
        <f t="shared" si="64"/>
        <v>#N/A</v>
      </c>
      <c r="T63" t="e">
        <f t="shared" si="65"/>
        <v>#N/A</v>
      </c>
      <c r="U63" t="e">
        <f t="shared" si="66"/>
        <v>#N/A</v>
      </c>
      <c r="V63" t="e">
        <f t="shared" si="67"/>
        <v>#N/A</v>
      </c>
      <c r="W63" t="e">
        <f t="shared" si="68"/>
        <v>#N/A</v>
      </c>
      <c r="X63" t="e">
        <f t="shared" si="69"/>
        <v>#N/A</v>
      </c>
      <c r="Y63" t="e">
        <f t="shared" si="70"/>
        <v>#N/A</v>
      </c>
      <c r="Z63" t="e">
        <f t="shared" si="71"/>
        <v>#N/A</v>
      </c>
      <c r="AA63" t="e">
        <f t="shared" si="72"/>
        <v>#N/A</v>
      </c>
      <c r="AB63" t="e">
        <f t="shared" si="73"/>
        <v>#N/A</v>
      </c>
      <c r="AC63" t="e">
        <f t="shared" si="74"/>
        <v>#N/A</v>
      </c>
      <c r="AD63" t="e">
        <f t="shared" si="75"/>
        <v>#N/A</v>
      </c>
      <c r="AE63" t="e">
        <f t="shared" si="76"/>
        <v>#N/A</v>
      </c>
      <c r="AF63" s="12" t="e">
        <f>R63+COUNTIF($B63:B63,B63)-1</f>
        <v>#N/A</v>
      </c>
      <c r="AG63" s="12" t="e">
        <f>S63+COUNTIF($B63:C63,C63)-1</f>
        <v>#N/A</v>
      </c>
      <c r="AH63" s="12" t="e">
        <f>T63+COUNTIF($B63:D63,D63)-1</f>
        <v>#N/A</v>
      </c>
      <c r="AI63" s="12" t="e">
        <f>U63+COUNTIF($B63:E63,E63)-1</f>
        <v>#N/A</v>
      </c>
      <c r="AJ63" s="12" t="e">
        <f>V63+COUNTIF($B63:F63,F63)-1</f>
        <v>#N/A</v>
      </c>
      <c r="AK63" s="12" t="e">
        <f>W63+COUNTIF($B63:G63,G63)-1</f>
        <v>#N/A</v>
      </c>
      <c r="AL63" s="12" t="e">
        <f>X63+COUNTIF($B63:H63,H63)-1</f>
        <v>#N/A</v>
      </c>
      <c r="AM63" s="12" t="e">
        <f>Y63+COUNTIF($B63:I63,I63)-1</f>
        <v>#N/A</v>
      </c>
      <c r="AN63" s="12" t="e">
        <f>Z63+COUNTIF($B63:J63,J63)-1</f>
        <v>#N/A</v>
      </c>
      <c r="AO63" s="12" t="e">
        <f>AA63+COUNTIF($B63:K63,K63)-1</f>
        <v>#N/A</v>
      </c>
      <c r="AP63" s="12" t="e">
        <f>AB63+COUNTIF($B63:L63,L63)-1</f>
        <v>#N/A</v>
      </c>
      <c r="AQ63" s="12" t="e">
        <f>AC63+COUNTIF($B63:M63,M63)-1</f>
        <v>#N/A</v>
      </c>
      <c r="AR63" s="12" t="e">
        <f>AD63+COUNTIF($B63:N63,N63)-1</f>
        <v>#N/A</v>
      </c>
      <c r="AS63" s="12" t="e">
        <f>AE63+COUNTIF($B63:O63,O63)-1</f>
        <v>#N/A</v>
      </c>
      <c r="AT63" s="14">
        <f t="shared" si="34"/>
        <v>0</v>
      </c>
      <c r="AU63" s="11" t="e">
        <f t="shared" si="35"/>
        <v>#N/A</v>
      </c>
      <c r="AV63" s="15" t="e">
        <f t="shared" si="36"/>
        <v>#N/A</v>
      </c>
      <c r="AW63" s="11" t="e">
        <f t="shared" si="37"/>
        <v>#N/A</v>
      </c>
      <c r="AX63" s="15" t="e">
        <f t="shared" si="38"/>
        <v>#N/A</v>
      </c>
      <c r="AY63" s="11" t="e">
        <f t="shared" si="39"/>
        <v>#N/A</v>
      </c>
      <c r="AZ63" s="15" t="e">
        <f t="shared" si="40"/>
        <v>#N/A</v>
      </c>
      <c r="BA63" s="11" t="e">
        <f t="shared" si="41"/>
        <v>#N/A</v>
      </c>
      <c r="BB63" s="15" t="e">
        <f t="shared" si="42"/>
        <v>#N/A</v>
      </c>
      <c r="BC63" s="11" t="e">
        <f t="shared" si="43"/>
        <v>#N/A</v>
      </c>
      <c r="BD63" s="15" t="e">
        <f t="shared" si="44"/>
        <v>#N/A</v>
      </c>
      <c r="BE63" s="11" t="e">
        <f t="shared" si="45"/>
        <v>#N/A</v>
      </c>
      <c r="BF63" s="15" t="e">
        <f t="shared" si="46"/>
        <v>#N/A</v>
      </c>
    </row>
  </sheetData>
  <mergeCells count="6">
    <mergeCell ref="BE4:BF4"/>
    <mergeCell ref="BA4:BB4"/>
    <mergeCell ref="BC4:BD4"/>
    <mergeCell ref="AU4:AV4"/>
    <mergeCell ref="AW4:AX4"/>
    <mergeCell ref="AY4:AZ4"/>
  </mergeCells>
  <phoneticPr fontId="1"/>
  <pageMargins left="0.7" right="0.7" top="0.75" bottom="0.75" header="0.3" footer="0.3"/>
  <pageSetup paperSize="9" scale="64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3:BX5"/>
  <sheetViews>
    <sheetView view="pageBreakPreview" zoomScale="60" zoomScaleNormal="100" workbookViewId="0">
      <selection activeCell="AP67" sqref="AP67"/>
    </sheetView>
  </sheetViews>
  <sheetFormatPr defaultRowHeight="18.75"/>
  <cols>
    <col min="1" max="77" width="3.625" customWidth="1"/>
  </cols>
  <sheetData>
    <row r="3" spans="1:76" ht="30">
      <c r="A3" s="34" t="s">
        <v>8</v>
      </c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13" t="s">
        <v>9</v>
      </c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 t="s">
        <v>10</v>
      </c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</row>
    <row r="4" spans="1:76">
      <c r="A4" s="1" t="str">
        <f ca="1">管理!$C$1</f>
        <v>集計期間 1900年1月0日 ～ 1900年1月0日*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 t="str">
        <f ca="1">管理!$C$1</f>
        <v>集計期間 1900年1月0日 ～ 1900年1月0日*</v>
      </c>
      <c r="AZ4" s="1" t="str">
        <f ca="1">管理!$C$1</f>
        <v>集計期間 1900年1月0日 ～ 1900年1月0日*</v>
      </c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</row>
    <row r="5" spans="1:76">
      <c r="A5" s="1">
        <f>MIN(テーブル1[日付])</f>
        <v>0</v>
      </c>
      <c r="B5" s="1">
        <f>MAX(テーブル1[日付])</f>
        <v>0</v>
      </c>
      <c r="C5" t="str">
        <f ca="1">IF(COUNTIF(管理!$D$4:$D$31,"ない")&gt;1,"*","")</f>
        <v>*</v>
      </c>
    </row>
  </sheetData>
  <mergeCells count="1">
    <mergeCell ref="A3:Y3"/>
  </mergeCells>
  <phoneticPr fontId="1"/>
  <pageMargins left="0.25" right="0.25" top="0.75" bottom="0.75" header="0.3" footer="0.3"/>
  <pageSetup paperSize="9" scale="95" orientation="portrait" r:id="rId1"/>
  <colBreaks count="2" manualBreakCount="2">
    <brk id="25" max="1048575" man="1"/>
    <brk id="5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ChaTableNamedRanges">
                <anchor moveWithCells="1" sizeWithCells="1">
                  <from>
                    <xdr:col>51</xdr:col>
                    <xdr:colOff>95250</xdr:colOff>
                    <xdr:row>0</xdr:row>
                    <xdr:rowOff>114300</xdr:rowOff>
                  </from>
                  <to>
                    <xdr:col>53</xdr:col>
                    <xdr:colOff>200025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6"/>
  <sheetViews>
    <sheetView zoomScaleNormal="100" zoomScaleSheetLayoutView="100" workbookViewId="0">
      <selection activeCell="F45" sqref="F45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4" width="5.125" customWidth="1"/>
    <col min="5" max="5" width="11.25" bestFit="1" customWidth="1"/>
    <col min="6" max="7" width="5.5" bestFit="1" customWidth="1"/>
    <col min="8" max="8" width="5.5" customWidth="1"/>
    <col min="9" max="9" width="4.75" customWidth="1"/>
    <col min="10" max="14" width="5.5" customWidth="1"/>
    <col min="15" max="17" width="5.5" bestFit="1" customWidth="1"/>
  </cols>
  <sheetData>
    <row r="1" spans="1:3">
      <c r="A1" s="1"/>
      <c r="B1" s="1"/>
    </row>
    <row r="2" spans="1:3">
      <c r="A2" t="s">
        <v>68</v>
      </c>
    </row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  <c r="B5">
        <v>0</v>
      </c>
      <c r="C5">
        <v>0</v>
      </c>
    </row>
    <row r="6" spans="1:3">
      <c r="A6" s="23" t="s">
        <v>4</v>
      </c>
      <c r="B6">
        <v>0</v>
      </c>
      <c r="C6">
        <v>0</v>
      </c>
    </row>
  </sheetData>
  <phoneticPr fontId="1"/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3:C6"/>
  <sheetViews>
    <sheetView zoomScaleNormal="100" workbookViewId="0">
      <selection activeCell="D33" sqref="D33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5" width="11.25" bestFit="1" customWidth="1"/>
    <col min="6" max="8" width="5.5" bestFit="1" customWidth="1"/>
    <col min="9" max="9" width="4.75" bestFit="1" customWidth="1"/>
    <col min="10" max="12" width="5.5" bestFit="1" customWidth="1"/>
    <col min="13" max="13" width="5.5" customWidth="1"/>
    <col min="14" max="17" width="5.5" bestFit="1" customWidth="1"/>
  </cols>
  <sheetData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</row>
    <row r="6" spans="1:3">
      <c r="A6" s="23" t="s">
        <v>4</v>
      </c>
    </row>
  </sheetData>
  <phoneticPr fontId="1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Z50"/>
  <sheetViews>
    <sheetView zoomScaleNormal="100" workbookViewId="0">
      <selection activeCell="U4" sqref="U4"/>
    </sheetView>
  </sheetViews>
  <sheetFormatPr defaultRowHeight="18.75"/>
  <cols>
    <col min="1" max="1" width="11.25" customWidth="1"/>
    <col min="2" max="2" width="18.5" customWidth="1"/>
    <col min="3" max="3" width="5.125" bestFit="1" customWidth="1"/>
    <col min="4" max="4" width="11.375" customWidth="1"/>
    <col min="5" max="5" width="11.25" bestFit="1" customWidth="1"/>
    <col min="6" max="6" width="5.5" bestFit="1" customWidth="1"/>
    <col min="7" max="7" width="11.25" bestFit="1" customWidth="1"/>
    <col min="8" max="8" width="4.75" bestFit="1" customWidth="1"/>
    <col min="9" max="9" width="4.125" bestFit="1" customWidth="1"/>
    <col min="10" max="10" width="11.25" bestFit="1" customWidth="1"/>
    <col min="11" max="11" width="5.5" customWidth="1"/>
    <col min="12" max="12" width="4.75" customWidth="1"/>
    <col min="13" max="17" width="5.5" customWidth="1"/>
    <col min="18" max="18" width="5.5" bestFit="1" customWidth="1"/>
    <col min="19" max="19" width="7.25" bestFit="1" customWidth="1"/>
    <col min="20" max="25" width="11.75" bestFit="1" customWidth="1"/>
    <col min="26" max="28" width="10.5" bestFit="1" customWidth="1"/>
    <col min="29" max="29" width="5.5" bestFit="1" customWidth="1"/>
  </cols>
  <sheetData>
    <row r="1" spans="1:26">
      <c r="A1" s="2" t="s">
        <v>54</v>
      </c>
      <c r="B1" t="s">
        <v>69</v>
      </c>
      <c r="T1" t="s">
        <v>171</v>
      </c>
    </row>
    <row r="2" spans="1:26">
      <c r="D2" s="2" t="s">
        <v>67</v>
      </c>
      <c r="E2" s="2" t="s">
        <v>3</v>
      </c>
    </row>
    <row r="3" spans="1:26">
      <c r="A3" s="2" t="s">
        <v>5</v>
      </c>
      <c r="B3" t="s">
        <v>67</v>
      </c>
      <c r="D3" s="2" t="s">
        <v>5</v>
      </c>
      <c r="E3" t="s">
        <v>202</v>
      </c>
      <c r="F3" t="s">
        <v>4</v>
      </c>
      <c r="U3" t="s">
        <v>70</v>
      </c>
      <c r="V3">
        <f>G3</f>
        <v>0</v>
      </c>
      <c r="W3">
        <f>H3</f>
        <v>0</v>
      </c>
      <c r="X3">
        <f>I3</f>
        <v>0</v>
      </c>
      <c r="Y3">
        <f>J3</f>
        <v>0</v>
      </c>
      <c r="Z3" t="s">
        <v>170</v>
      </c>
    </row>
    <row r="4" spans="1:26">
      <c r="D4" s="23" t="s">
        <v>202</v>
      </c>
      <c r="E4">
        <v>0</v>
      </c>
      <c r="F4">
        <v>0</v>
      </c>
      <c r="T4">
        <f t="shared" ref="T4:T50" si="0">A4</f>
        <v>0</v>
      </c>
      <c r="U4">
        <f t="shared" ref="U4:U50" si="1">IFERROR(GETPIVOTDATA("日付",$D$2,"ライン",F$3,"人間",$T4)+GETPIVOTDATA("日付",$D$2,"ライン",E$3,"人間",$T4),0)</f>
        <v>0</v>
      </c>
      <c r="V4">
        <f t="shared" ref="V4:Y23" si="2">IFERROR(GETPIVOTDATA("日付",$D$2,"ライン",V$3,"人間",$T4),0)</f>
        <v>0</v>
      </c>
      <c r="W4">
        <f t="shared" si="2"/>
        <v>0</v>
      </c>
      <c r="X4">
        <f t="shared" si="2"/>
        <v>0</v>
      </c>
      <c r="Y4">
        <f t="shared" si="2"/>
        <v>0</v>
      </c>
      <c r="Z4" t="e">
        <f>GETPIVOTDATA("日付",$D$2,"人間",T4)-SUM(U4:Y4)</f>
        <v>#REF!</v>
      </c>
    </row>
    <row r="5" spans="1:26">
      <c r="T5">
        <f t="shared" si="0"/>
        <v>0</v>
      </c>
      <c r="U5">
        <f t="shared" si="1"/>
        <v>0</v>
      </c>
      <c r="V5">
        <f t="shared" si="2"/>
        <v>0</v>
      </c>
      <c r="W5">
        <f t="shared" si="2"/>
        <v>0</v>
      </c>
      <c r="X5">
        <f t="shared" si="2"/>
        <v>0</v>
      </c>
      <c r="Y5">
        <f t="shared" si="2"/>
        <v>0</v>
      </c>
      <c r="Z5" t="e">
        <f t="shared" ref="Z5:Z50" si="3">GETPIVOTDATA("日付",$D$2,"人間",T5)-SUM(U5:Y5)</f>
        <v>#REF!</v>
      </c>
    </row>
    <row r="6" spans="1:26">
      <c r="T6">
        <f t="shared" si="0"/>
        <v>0</v>
      </c>
      <c r="U6">
        <f t="shared" si="1"/>
        <v>0</v>
      </c>
      <c r="V6">
        <f t="shared" si="2"/>
        <v>0</v>
      </c>
      <c r="W6">
        <f t="shared" si="2"/>
        <v>0</v>
      </c>
      <c r="X6">
        <f t="shared" si="2"/>
        <v>0</v>
      </c>
      <c r="Y6">
        <f t="shared" si="2"/>
        <v>0</v>
      </c>
      <c r="Z6" t="e">
        <f t="shared" si="3"/>
        <v>#REF!</v>
      </c>
    </row>
    <row r="7" spans="1:26">
      <c r="T7">
        <f t="shared" si="0"/>
        <v>0</v>
      </c>
      <c r="U7">
        <f t="shared" si="1"/>
        <v>0</v>
      </c>
      <c r="V7">
        <f t="shared" si="2"/>
        <v>0</v>
      </c>
      <c r="W7">
        <f t="shared" si="2"/>
        <v>0</v>
      </c>
      <c r="X7">
        <f t="shared" si="2"/>
        <v>0</v>
      </c>
      <c r="Y7">
        <f t="shared" si="2"/>
        <v>0</v>
      </c>
      <c r="Z7" t="e">
        <f t="shared" si="3"/>
        <v>#REF!</v>
      </c>
    </row>
    <row r="8" spans="1:26">
      <c r="T8">
        <f t="shared" si="0"/>
        <v>0</v>
      </c>
      <c r="U8">
        <f t="shared" si="1"/>
        <v>0</v>
      </c>
      <c r="V8">
        <f t="shared" si="2"/>
        <v>0</v>
      </c>
      <c r="W8">
        <f t="shared" si="2"/>
        <v>0</v>
      </c>
      <c r="X8">
        <f t="shared" si="2"/>
        <v>0</v>
      </c>
      <c r="Y8">
        <f t="shared" si="2"/>
        <v>0</v>
      </c>
      <c r="Z8" t="e">
        <f t="shared" si="3"/>
        <v>#REF!</v>
      </c>
    </row>
    <row r="9" spans="1:26">
      <c r="T9">
        <f t="shared" si="0"/>
        <v>0</v>
      </c>
      <c r="U9">
        <f t="shared" si="1"/>
        <v>0</v>
      </c>
      <c r="V9">
        <f t="shared" si="2"/>
        <v>0</v>
      </c>
      <c r="W9">
        <f t="shared" si="2"/>
        <v>0</v>
      </c>
      <c r="X9">
        <f t="shared" si="2"/>
        <v>0</v>
      </c>
      <c r="Y9">
        <f t="shared" si="2"/>
        <v>0</v>
      </c>
      <c r="Z9" t="e">
        <f t="shared" si="3"/>
        <v>#REF!</v>
      </c>
    </row>
    <row r="10" spans="1:26">
      <c r="T10">
        <f t="shared" si="0"/>
        <v>0</v>
      </c>
      <c r="U10">
        <f t="shared" si="1"/>
        <v>0</v>
      </c>
      <c r="V10">
        <f t="shared" si="2"/>
        <v>0</v>
      </c>
      <c r="W10">
        <f t="shared" si="2"/>
        <v>0</v>
      </c>
      <c r="X10">
        <f t="shared" si="2"/>
        <v>0</v>
      </c>
      <c r="Y10">
        <f t="shared" si="2"/>
        <v>0</v>
      </c>
      <c r="Z10" t="e">
        <f t="shared" si="3"/>
        <v>#REF!</v>
      </c>
    </row>
    <row r="11" spans="1:26">
      <c r="T11">
        <f t="shared" si="0"/>
        <v>0</v>
      </c>
      <c r="U11">
        <f t="shared" si="1"/>
        <v>0</v>
      </c>
      <c r="V11">
        <f t="shared" si="2"/>
        <v>0</v>
      </c>
      <c r="W11">
        <f t="shared" si="2"/>
        <v>0</v>
      </c>
      <c r="X11">
        <f t="shared" si="2"/>
        <v>0</v>
      </c>
      <c r="Y11">
        <f t="shared" si="2"/>
        <v>0</v>
      </c>
      <c r="Z11" t="e">
        <f t="shared" si="3"/>
        <v>#REF!</v>
      </c>
    </row>
    <row r="12" spans="1:26">
      <c r="T12">
        <f t="shared" si="0"/>
        <v>0</v>
      </c>
      <c r="U12">
        <f t="shared" si="1"/>
        <v>0</v>
      </c>
      <c r="V12">
        <f t="shared" si="2"/>
        <v>0</v>
      </c>
      <c r="W12">
        <f t="shared" si="2"/>
        <v>0</v>
      </c>
      <c r="X12">
        <f t="shared" si="2"/>
        <v>0</v>
      </c>
      <c r="Y12">
        <f t="shared" si="2"/>
        <v>0</v>
      </c>
      <c r="Z12" t="e">
        <f t="shared" si="3"/>
        <v>#REF!</v>
      </c>
    </row>
    <row r="13" spans="1:26">
      <c r="T13">
        <f t="shared" si="0"/>
        <v>0</v>
      </c>
      <c r="U13">
        <f t="shared" si="1"/>
        <v>0</v>
      </c>
      <c r="V13">
        <f t="shared" si="2"/>
        <v>0</v>
      </c>
      <c r="W13">
        <f t="shared" si="2"/>
        <v>0</v>
      </c>
      <c r="X13">
        <f t="shared" si="2"/>
        <v>0</v>
      </c>
      <c r="Y13">
        <f t="shared" si="2"/>
        <v>0</v>
      </c>
      <c r="Z13" t="e">
        <f t="shared" si="3"/>
        <v>#REF!</v>
      </c>
    </row>
    <row r="14" spans="1:26">
      <c r="T14">
        <f t="shared" si="0"/>
        <v>0</v>
      </c>
      <c r="U14">
        <f t="shared" si="1"/>
        <v>0</v>
      </c>
      <c r="V14">
        <f t="shared" si="2"/>
        <v>0</v>
      </c>
      <c r="W14">
        <f t="shared" si="2"/>
        <v>0</v>
      </c>
      <c r="X14">
        <f t="shared" si="2"/>
        <v>0</v>
      </c>
      <c r="Y14">
        <f t="shared" si="2"/>
        <v>0</v>
      </c>
      <c r="Z14" t="e">
        <f t="shared" si="3"/>
        <v>#REF!</v>
      </c>
    </row>
    <row r="15" spans="1:26">
      <c r="T15">
        <f t="shared" si="0"/>
        <v>0</v>
      </c>
      <c r="U15">
        <f t="shared" si="1"/>
        <v>0</v>
      </c>
      <c r="V15">
        <f t="shared" si="2"/>
        <v>0</v>
      </c>
      <c r="W15">
        <f t="shared" si="2"/>
        <v>0</v>
      </c>
      <c r="X15">
        <f t="shared" si="2"/>
        <v>0</v>
      </c>
      <c r="Y15">
        <f t="shared" si="2"/>
        <v>0</v>
      </c>
      <c r="Z15" t="e">
        <f t="shared" si="3"/>
        <v>#REF!</v>
      </c>
    </row>
    <row r="16" spans="1:26">
      <c r="T16">
        <f t="shared" si="0"/>
        <v>0</v>
      </c>
      <c r="U16">
        <f t="shared" si="1"/>
        <v>0</v>
      </c>
      <c r="V16">
        <f t="shared" si="2"/>
        <v>0</v>
      </c>
      <c r="W16">
        <f t="shared" si="2"/>
        <v>0</v>
      </c>
      <c r="X16">
        <f t="shared" si="2"/>
        <v>0</v>
      </c>
      <c r="Y16">
        <f t="shared" si="2"/>
        <v>0</v>
      </c>
      <c r="Z16" t="e">
        <f t="shared" si="3"/>
        <v>#REF!</v>
      </c>
    </row>
    <row r="17" spans="20:26">
      <c r="T17">
        <f t="shared" si="0"/>
        <v>0</v>
      </c>
      <c r="U17">
        <f t="shared" si="1"/>
        <v>0</v>
      </c>
      <c r="V17">
        <f t="shared" si="2"/>
        <v>0</v>
      </c>
      <c r="W17">
        <f t="shared" si="2"/>
        <v>0</v>
      </c>
      <c r="X17">
        <f t="shared" si="2"/>
        <v>0</v>
      </c>
      <c r="Y17">
        <f t="shared" si="2"/>
        <v>0</v>
      </c>
      <c r="Z17" t="e">
        <f t="shared" si="3"/>
        <v>#REF!</v>
      </c>
    </row>
    <row r="18" spans="20:26">
      <c r="T18">
        <f t="shared" si="0"/>
        <v>0</v>
      </c>
      <c r="U18">
        <f t="shared" si="1"/>
        <v>0</v>
      </c>
      <c r="V18">
        <f t="shared" si="2"/>
        <v>0</v>
      </c>
      <c r="W18">
        <f t="shared" si="2"/>
        <v>0</v>
      </c>
      <c r="X18">
        <f t="shared" si="2"/>
        <v>0</v>
      </c>
      <c r="Y18">
        <f t="shared" si="2"/>
        <v>0</v>
      </c>
      <c r="Z18" t="e">
        <f t="shared" si="3"/>
        <v>#REF!</v>
      </c>
    </row>
    <row r="19" spans="20:26">
      <c r="T19">
        <f t="shared" si="0"/>
        <v>0</v>
      </c>
      <c r="U19">
        <f t="shared" si="1"/>
        <v>0</v>
      </c>
      <c r="V19">
        <f t="shared" si="2"/>
        <v>0</v>
      </c>
      <c r="W19">
        <f t="shared" si="2"/>
        <v>0</v>
      </c>
      <c r="X19">
        <f t="shared" si="2"/>
        <v>0</v>
      </c>
      <c r="Y19">
        <f t="shared" si="2"/>
        <v>0</v>
      </c>
      <c r="Z19" t="e">
        <f t="shared" si="3"/>
        <v>#REF!</v>
      </c>
    </row>
    <row r="20" spans="20:26">
      <c r="T20">
        <f t="shared" si="0"/>
        <v>0</v>
      </c>
      <c r="U20">
        <f t="shared" si="1"/>
        <v>0</v>
      </c>
      <c r="V20">
        <f t="shared" si="2"/>
        <v>0</v>
      </c>
      <c r="W20">
        <f t="shared" si="2"/>
        <v>0</v>
      </c>
      <c r="X20">
        <f t="shared" si="2"/>
        <v>0</v>
      </c>
      <c r="Y20">
        <f t="shared" si="2"/>
        <v>0</v>
      </c>
      <c r="Z20" t="e">
        <f t="shared" si="3"/>
        <v>#REF!</v>
      </c>
    </row>
    <row r="21" spans="20:26">
      <c r="T21">
        <f t="shared" si="0"/>
        <v>0</v>
      </c>
      <c r="U21">
        <f t="shared" si="1"/>
        <v>0</v>
      </c>
      <c r="V21">
        <f t="shared" si="2"/>
        <v>0</v>
      </c>
      <c r="W21">
        <f t="shared" si="2"/>
        <v>0</v>
      </c>
      <c r="X21">
        <f t="shared" si="2"/>
        <v>0</v>
      </c>
      <c r="Y21">
        <f t="shared" si="2"/>
        <v>0</v>
      </c>
      <c r="Z21" t="e">
        <f t="shared" si="3"/>
        <v>#REF!</v>
      </c>
    </row>
    <row r="22" spans="20:26">
      <c r="T22">
        <f t="shared" si="0"/>
        <v>0</v>
      </c>
      <c r="U22">
        <f t="shared" si="1"/>
        <v>0</v>
      </c>
      <c r="V22">
        <f t="shared" si="2"/>
        <v>0</v>
      </c>
      <c r="W22">
        <f t="shared" si="2"/>
        <v>0</v>
      </c>
      <c r="X22">
        <f t="shared" si="2"/>
        <v>0</v>
      </c>
      <c r="Y22">
        <f t="shared" si="2"/>
        <v>0</v>
      </c>
      <c r="Z22" t="e">
        <f t="shared" si="3"/>
        <v>#REF!</v>
      </c>
    </row>
    <row r="23" spans="20:26">
      <c r="T23">
        <f t="shared" si="0"/>
        <v>0</v>
      </c>
      <c r="U23">
        <f t="shared" si="1"/>
        <v>0</v>
      </c>
      <c r="V23">
        <f t="shared" si="2"/>
        <v>0</v>
      </c>
      <c r="W23">
        <f t="shared" si="2"/>
        <v>0</v>
      </c>
      <c r="X23">
        <f t="shared" si="2"/>
        <v>0</v>
      </c>
      <c r="Y23">
        <f t="shared" si="2"/>
        <v>0</v>
      </c>
      <c r="Z23" t="e">
        <f t="shared" si="3"/>
        <v>#REF!</v>
      </c>
    </row>
    <row r="24" spans="20:26">
      <c r="T24">
        <f t="shared" si="0"/>
        <v>0</v>
      </c>
      <c r="U24">
        <f t="shared" si="1"/>
        <v>0</v>
      </c>
      <c r="V24">
        <f t="shared" ref="V24:Y43" si="4">IFERROR(GETPIVOTDATA("日付",$D$2,"ライン",V$3,"人間",$T24),0)</f>
        <v>0</v>
      </c>
      <c r="W24">
        <f t="shared" si="4"/>
        <v>0</v>
      </c>
      <c r="X24">
        <f t="shared" si="4"/>
        <v>0</v>
      </c>
      <c r="Y24">
        <f t="shared" si="4"/>
        <v>0</v>
      </c>
      <c r="Z24" t="e">
        <f t="shared" si="3"/>
        <v>#REF!</v>
      </c>
    </row>
    <row r="25" spans="20:26">
      <c r="T25">
        <f t="shared" si="0"/>
        <v>0</v>
      </c>
      <c r="U25">
        <f t="shared" si="1"/>
        <v>0</v>
      </c>
      <c r="V25">
        <f t="shared" si="4"/>
        <v>0</v>
      </c>
      <c r="W25">
        <f t="shared" si="4"/>
        <v>0</v>
      </c>
      <c r="X25">
        <f t="shared" si="4"/>
        <v>0</v>
      </c>
      <c r="Y25">
        <f t="shared" si="4"/>
        <v>0</v>
      </c>
      <c r="Z25" t="e">
        <f t="shared" si="3"/>
        <v>#REF!</v>
      </c>
    </row>
    <row r="26" spans="20:26">
      <c r="T26">
        <f t="shared" si="0"/>
        <v>0</v>
      </c>
      <c r="U26">
        <f t="shared" si="1"/>
        <v>0</v>
      </c>
      <c r="V26">
        <f t="shared" si="4"/>
        <v>0</v>
      </c>
      <c r="W26">
        <f t="shared" si="4"/>
        <v>0</v>
      </c>
      <c r="X26">
        <f t="shared" si="4"/>
        <v>0</v>
      </c>
      <c r="Y26">
        <f t="shared" si="4"/>
        <v>0</v>
      </c>
      <c r="Z26" t="e">
        <f t="shared" si="3"/>
        <v>#REF!</v>
      </c>
    </row>
    <row r="27" spans="20:26">
      <c r="T27">
        <f t="shared" si="0"/>
        <v>0</v>
      </c>
      <c r="U27">
        <f t="shared" si="1"/>
        <v>0</v>
      </c>
      <c r="V27">
        <f t="shared" si="4"/>
        <v>0</v>
      </c>
      <c r="W27">
        <f t="shared" si="4"/>
        <v>0</v>
      </c>
      <c r="X27">
        <f t="shared" si="4"/>
        <v>0</v>
      </c>
      <c r="Y27">
        <f t="shared" si="4"/>
        <v>0</v>
      </c>
      <c r="Z27" t="e">
        <f t="shared" si="3"/>
        <v>#REF!</v>
      </c>
    </row>
    <row r="28" spans="20:26">
      <c r="T28">
        <f t="shared" si="0"/>
        <v>0</v>
      </c>
      <c r="U28">
        <f t="shared" si="1"/>
        <v>0</v>
      </c>
      <c r="V28">
        <f t="shared" si="4"/>
        <v>0</v>
      </c>
      <c r="W28">
        <f t="shared" si="4"/>
        <v>0</v>
      </c>
      <c r="X28">
        <f t="shared" si="4"/>
        <v>0</v>
      </c>
      <c r="Y28">
        <f t="shared" si="4"/>
        <v>0</v>
      </c>
      <c r="Z28" t="e">
        <f t="shared" si="3"/>
        <v>#REF!</v>
      </c>
    </row>
    <row r="29" spans="20:26">
      <c r="T29">
        <f t="shared" si="0"/>
        <v>0</v>
      </c>
      <c r="U29">
        <f t="shared" si="1"/>
        <v>0</v>
      </c>
      <c r="V29">
        <f t="shared" si="4"/>
        <v>0</v>
      </c>
      <c r="W29">
        <f t="shared" si="4"/>
        <v>0</v>
      </c>
      <c r="X29">
        <f t="shared" si="4"/>
        <v>0</v>
      </c>
      <c r="Y29">
        <f t="shared" si="4"/>
        <v>0</v>
      </c>
      <c r="Z29" t="e">
        <f t="shared" si="3"/>
        <v>#REF!</v>
      </c>
    </row>
    <row r="30" spans="20:26">
      <c r="T30">
        <f t="shared" si="0"/>
        <v>0</v>
      </c>
      <c r="U30">
        <f t="shared" si="1"/>
        <v>0</v>
      </c>
      <c r="V30">
        <f t="shared" si="4"/>
        <v>0</v>
      </c>
      <c r="W30">
        <f t="shared" si="4"/>
        <v>0</v>
      </c>
      <c r="X30">
        <f t="shared" si="4"/>
        <v>0</v>
      </c>
      <c r="Y30">
        <f t="shared" si="4"/>
        <v>0</v>
      </c>
      <c r="Z30" t="e">
        <f t="shared" si="3"/>
        <v>#REF!</v>
      </c>
    </row>
    <row r="31" spans="20:26">
      <c r="T31">
        <f t="shared" si="0"/>
        <v>0</v>
      </c>
      <c r="U31">
        <f t="shared" si="1"/>
        <v>0</v>
      </c>
      <c r="V31">
        <f t="shared" si="4"/>
        <v>0</v>
      </c>
      <c r="W31">
        <f t="shared" si="4"/>
        <v>0</v>
      </c>
      <c r="X31">
        <f t="shared" si="4"/>
        <v>0</v>
      </c>
      <c r="Y31">
        <f t="shared" si="4"/>
        <v>0</v>
      </c>
      <c r="Z31" t="e">
        <f t="shared" si="3"/>
        <v>#REF!</v>
      </c>
    </row>
    <row r="32" spans="20:26">
      <c r="T32">
        <f t="shared" si="0"/>
        <v>0</v>
      </c>
      <c r="U32">
        <f t="shared" si="1"/>
        <v>0</v>
      </c>
      <c r="V32">
        <f t="shared" si="4"/>
        <v>0</v>
      </c>
      <c r="W32">
        <f t="shared" si="4"/>
        <v>0</v>
      </c>
      <c r="X32">
        <f t="shared" si="4"/>
        <v>0</v>
      </c>
      <c r="Y32">
        <f t="shared" si="4"/>
        <v>0</v>
      </c>
      <c r="Z32" t="e">
        <f t="shared" si="3"/>
        <v>#REF!</v>
      </c>
    </row>
    <row r="33" spans="20:26">
      <c r="T33">
        <f t="shared" si="0"/>
        <v>0</v>
      </c>
      <c r="U33">
        <f t="shared" si="1"/>
        <v>0</v>
      </c>
      <c r="V33">
        <f t="shared" si="4"/>
        <v>0</v>
      </c>
      <c r="W33">
        <f t="shared" si="4"/>
        <v>0</v>
      </c>
      <c r="X33">
        <f t="shared" si="4"/>
        <v>0</v>
      </c>
      <c r="Y33">
        <f t="shared" si="4"/>
        <v>0</v>
      </c>
      <c r="Z33" t="e">
        <f t="shared" si="3"/>
        <v>#REF!</v>
      </c>
    </row>
    <row r="34" spans="20:26">
      <c r="T34">
        <f t="shared" si="0"/>
        <v>0</v>
      </c>
      <c r="U34">
        <f t="shared" si="1"/>
        <v>0</v>
      </c>
      <c r="V34">
        <f t="shared" si="4"/>
        <v>0</v>
      </c>
      <c r="W34">
        <f t="shared" si="4"/>
        <v>0</v>
      </c>
      <c r="X34">
        <f t="shared" si="4"/>
        <v>0</v>
      </c>
      <c r="Y34">
        <f t="shared" si="4"/>
        <v>0</v>
      </c>
      <c r="Z34" t="e">
        <f t="shared" si="3"/>
        <v>#REF!</v>
      </c>
    </row>
    <row r="35" spans="20:26">
      <c r="T35">
        <f t="shared" si="0"/>
        <v>0</v>
      </c>
      <c r="U35">
        <f t="shared" si="1"/>
        <v>0</v>
      </c>
      <c r="V35">
        <f t="shared" si="4"/>
        <v>0</v>
      </c>
      <c r="W35">
        <f t="shared" si="4"/>
        <v>0</v>
      </c>
      <c r="X35">
        <f t="shared" si="4"/>
        <v>0</v>
      </c>
      <c r="Y35">
        <f t="shared" si="4"/>
        <v>0</v>
      </c>
      <c r="Z35" t="e">
        <f t="shared" si="3"/>
        <v>#REF!</v>
      </c>
    </row>
    <row r="36" spans="20:26">
      <c r="T36">
        <f t="shared" si="0"/>
        <v>0</v>
      </c>
      <c r="U36">
        <f t="shared" si="1"/>
        <v>0</v>
      </c>
      <c r="V36">
        <f t="shared" si="4"/>
        <v>0</v>
      </c>
      <c r="W36">
        <f t="shared" si="4"/>
        <v>0</v>
      </c>
      <c r="X36">
        <f t="shared" si="4"/>
        <v>0</v>
      </c>
      <c r="Y36">
        <f t="shared" si="4"/>
        <v>0</v>
      </c>
      <c r="Z36" t="e">
        <f t="shared" si="3"/>
        <v>#REF!</v>
      </c>
    </row>
    <row r="37" spans="20:26">
      <c r="T37">
        <f t="shared" si="0"/>
        <v>0</v>
      </c>
      <c r="U37">
        <f t="shared" si="1"/>
        <v>0</v>
      </c>
      <c r="V37">
        <f t="shared" si="4"/>
        <v>0</v>
      </c>
      <c r="W37">
        <f t="shared" si="4"/>
        <v>0</v>
      </c>
      <c r="X37">
        <f t="shared" si="4"/>
        <v>0</v>
      </c>
      <c r="Y37">
        <f t="shared" si="4"/>
        <v>0</v>
      </c>
      <c r="Z37" t="e">
        <f t="shared" si="3"/>
        <v>#REF!</v>
      </c>
    </row>
    <row r="38" spans="20:26">
      <c r="T38">
        <f t="shared" si="0"/>
        <v>0</v>
      </c>
      <c r="U38">
        <f t="shared" si="1"/>
        <v>0</v>
      </c>
      <c r="V38">
        <f t="shared" si="4"/>
        <v>0</v>
      </c>
      <c r="W38">
        <f t="shared" si="4"/>
        <v>0</v>
      </c>
      <c r="X38">
        <f t="shared" si="4"/>
        <v>0</v>
      </c>
      <c r="Y38">
        <f t="shared" si="4"/>
        <v>0</v>
      </c>
      <c r="Z38" t="e">
        <f t="shared" si="3"/>
        <v>#REF!</v>
      </c>
    </row>
    <row r="39" spans="20:26">
      <c r="T39">
        <f t="shared" si="0"/>
        <v>0</v>
      </c>
      <c r="U39">
        <f t="shared" si="1"/>
        <v>0</v>
      </c>
      <c r="V39">
        <f t="shared" si="4"/>
        <v>0</v>
      </c>
      <c r="W39">
        <f t="shared" si="4"/>
        <v>0</v>
      </c>
      <c r="X39">
        <f t="shared" si="4"/>
        <v>0</v>
      </c>
      <c r="Y39">
        <f t="shared" si="4"/>
        <v>0</v>
      </c>
      <c r="Z39" t="e">
        <f t="shared" si="3"/>
        <v>#REF!</v>
      </c>
    </row>
    <row r="40" spans="20:26">
      <c r="T40">
        <f t="shared" si="0"/>
        <v>0</v>
      </c>
      <c r="U40">
        <f t="shared" si="1"/>
        <v>0</v>
      </c>
      <c r="V40">
        <f t="shared" si="4"/>
        <v>0</v>
      </c>
      <c r="W40">
        <f t="shared" si="4"/>
        <v>0</v>
      </c>
      <c r="X40">
        <f t="shared" si="4"/>
        <v>0</v>
      </c>
      <c r="Y40">
        <f t="shared" si="4"/>
        <v>0</v>
      </c>
      <c r="Z40" t="e">
        <f t="shared" si="3"/>
        <v>#REF!</v>
      </c>
    </row>
    <row r="41" spans="20:26">
      <c r="T41">
        <f t="shared" si="0"/>
        <v>0</v>
      </c>
      <c r="U41">
        <f t="shared" si="1"/>
        <v>0</v>
      </c>
      <c r="V41">
        <f t="shared" si="4"/>
        <v>0</v>
      </c>
      <c r="W41">
        <f t="shared" si="4"/>
        <v>0</v>
      </c>
      <c r="X41">
        <f t="shared" si="4"/>
        <v>0</v>
      </c>
      <c r="Y41">
        <f t="shared" si="4"/>
        <v>0</v>
      </c>
      <c r="Z41" t="e">
        <f t="shared" si="3"/>
        <v>#REF!</v>
      </c>
    </row>
    <row r="42" spans="20:26">
      <c r="T42">
        <f t="shared" si="0"/>
        <v>0</v>
      </c>
      <c r="U42">
        <f t="shared" si="1"/>
        <v>0</v>
      </c>
      <c r="V42">
        <f t="shared" si="4"/>
        <v>0</v>
      </c>
      <c r="W42">
        <f t="shared" si="4"/>
        <v>0</v>
      </c>
      <c r="X42">
        <f t="shared" si="4"/>
        <v>0</v>
      </c>
      <c r="Y42">
        <f t="shared" si="4"/>
        <v>0</v>
      </c>
      <c r="Z42" t="e">
        <f t="shared" si="3"/>
        <v>#REF!</v>
      </c>
    </row>
    <row r="43" spans="20:26">
      <c r="T43">
        <f t="shared" si="0"/>
        <v>0</v>
      </c>
      <c r="U43">
        <f t="shared" si="1"/>
        <v>0</v>
      </c>
      <c r="V43">
        <f t="shared" si="4"/>
        <v>0</v>
      </c>
      <c r="W43">
        <f t="shared" si="4"/>
        <v>0</v>
      </c>
      <c r="X43">
        <f t="shared" si="4"/>
        <v>0</v>
      </c>
      <c r="Y43">
        <f t="shared" si="4"/>
        <v>0</v>
      </c>
      <c r="Z43" t="e">
        <f t="shared" si="3"/>
        <v>#REF!</v>
      </c>
    </row>
    <row r="44" spans="20:26">
      <c r="T44">
        <f t="shared" si="0"/>
        <v>0</v>
      </c>
      <c r="U44">
        <f t="shared" si="1"/>
        <v>0</v>
      </c>
      <c r="V44">
        <f t="shared" ref="V44:Y50" si="5">IFERROR(GETPIVOTDATA("日付",$D$2,"ライン",V$3,"人間",$T44),0)</f>
        <v>0</v>
      </c>
      <c r="W44">
        <f t="shared" si="5"/>
        <v>0</v>
      </c>
      <c r="X44">
        <f t="shared" si="5"/>
        <v>0</v>
      </c>
      <c r="Y44">
        <f t="shared" si="5"/>
        <v>0</v>
      </c>
      <c r="Z44" t="e">
        <f t="shared" si="3"/>
        <v>#REF!</v>
      </c>
    </row>
    <row r="45" spans="20:26">
      <c r="T45">
        <f t="shared" si="0"/>
        <v>0</v>
      </c>
      <c r="U45">
        <f t="shared" si="1"/>
        <v>0</v>
      </c>
      <c r="V45">
        <f t="shared" si="5"/>
        <v>0</v>
      </c>
      <c r="W45">
        <f t="shared" si="5"/>
        <v>0</v>
      </c>
      <c r="X45">
        <f t="shared" si="5"/>
        <v>0</v>
      </c>
      <c r="Y45">
        <f t="shared" si="5"/>
        <v>0</v>
      </c>
      <c r="Z45" t="e">
        <f t="shared" si="3"/>
        <v>#REF!</v>
      </c>
    </row>
    <row r="46" spans="20:26">
      <c r="T46">
        <f t="shared" si="0"/>
        <v>0</v>
      </c>
      <c r="U46">
        <f t="shared" si="1"/>
        <v>0</v>
      </c>
      <c r="V46">
        <f t="shared" si="5"/>
        <v>0</v>
      </c>
      <c r="W46">
        <f t="shared" si="5"/>
        <v>0</v>
      </c>
      <c r="X46">
        <f t="shared" si="5"/>
        <v>0</v>
      </c>
      <c r="Y46">
        <f t="shared" si="5"/>
        <v>0</v>
      </c>
      <c r="Z46" t="e">
        <f t="shared" si="3"/>
        <v>#REF!</v>
      </c>
    </row>
    <row r="47" spans="20:26">
      <c r="T47">
        <f t="shared" si="0"/>
        <v>0</v>
      </c>
      <c r="U47">
        <f t="shared" si="1"/>
        <v>0</v>
      </c>
      <c r="V47">
        <f t="shared" si="5"/>
        <v>0</v>
      </c>
      <c r="W47">
        <f t="shared" si="5"/>
        <v>0</v>
      </c>
      <c r="X47">
        <f t="shared" si="5"/>
        <v>0</v>
      </c>
      <c r="Y47">
        <f t="shared" si="5"/>
        <v>0</v>
      </c>
      <c r="Z47" t="e">
        <f t="shared" si="3"/>
        <v>#REF!</v>
      </c>
    </row>
    <row r="48" spans="20:26">
      <c r="T48">
        <f t="shared" si="0"/>
        <v>0</v>
      </c>
      <c r="U48">
        <f t="shared" si="1"/>
        <v>0</v>
      </c>
      <c r="V48">
        <f t="shared" si="5"/>
        <v>0</v>
      </c>
      <c r="W48">
        <f t="shared" si="5"/>
        <v>0</v>
      </c>
      <c r="X48">
        <f t="shared" si="5"/>
        <v>0</v>
      </c>
      <c r="Y48">
        <f t="shared" si="5"/>
        <v>0</v>
      </c>
      <c r="Z48" t="e">
        <f t="shared" si="3"/>
        <v>#REF!</v>
      </c>
    </row>
    <row r="49" spans="20:26">
      <c r="T49">
        <f t="shared" si="0"/>
        <v>0</v>
      </c>
      <c r="U49">
        <f t="shared" si="1"/>
        <v>0</v>
      </c>
      <c r="V49">
        <f t="shared" si="5"/>
        <v>0</v>
      </c>
      <c r="W49">
        <f t="shared" si="5"/>
        <v>0</v>
      </c>
      <c r="X49">
        <f t="shared" si="5"/>
        <v>0</v>
      </c>
      <c r="Y49">
        <f t="shared" si="5"/>
        <v>0</v>
      </c>
      <c r="Z49" t="e">
        <f t="shared" si="3"/>
        <v>#REF!</v>
      </c>
    </row>
    <row r="50" spans="20:26">
      <c r="T50">
        <f t="shared" si="0"/>
        <v>0</v>
      </c>
      <c r="U50">
        <f t="shared" si="1"/>
        <v>0</v>
      </c>
      <c r="V50">
        <f t="shared" si="5"/>
        <v>0</v>
      </c>
      <c r="W50">
        <f t="shared" si="5"/>
        <v>0</v>
      </c>
      <c r="X50">
        <f t="shared" si="5"/>
        <v>0</v>
      </c>
      <c r="Y50">
        <f t="shared" si="5"/>
        <v>0</v>
      </c>
      <c r="Z50" t="e">
        <f t="shared" si="3"/>
        <v>#REF!</v>
      </c>
    </row>
  </sheetData>
  <phoneticPr fontId="1"/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item1.xml>�� �0�0�0�0 �0�0�0�0 �0�0�0�0 �0�0�0�0  g'Y$P  g'Y$P 
</file>

<file path=customXml/item2.xml>�� �0�0�0�0 �0�0�0�0 �0�0�0�0 �0�0�0�0  g'Y$P  g'Y$P 
</file>

<file path=customXml/item3.xml>�� �0�0�0�0 �0�0�0�0 �0�0�0�0 �0�0�0�0 
</file>

<file path=customXml/item4.xml>�� �0�0�0�0 �0�0�0�0 
</file>

<file path=customXml/item5.xml>�� �0�0�0�0 �0�0�0�0 �0�0�0�0 �0�0�0�0 
</file>

<file path=customXml/item6.xml>�� 
</file>

<file path=customXml/item7.xml>�� �0�0�0�0 �0�0�0�0 �0�0�0�0 �0�0�0�0  g'Y$P  g'Y$P 
</file>

<file path=customXml/item8.xml>�� �eW0D0�0�0�0�0�0�0�0�0 �0�0�0�0 
</file>

<file path=customXml/item9.xml>�� �0�0�0�0 �0�0�0�0 �e�NPpe �e�NPpe 
</file>

<file path=customXml/item10.xml>�� �N�[h� �N�[h� t^ gn0ju�S g �f�en0ju�S �f�e �0�0�0�0 �0�0�0�0 �e�N �0�0�0 �N�� �e�N  ( gn0�0�0�0�0�0�0 6� i��W0q}T �e�N  ( gn0�0�0�0�0�0�0 �e�N  ( g �vя 
</file>

<file path=customXml/item11.xml>�� �0�0�0�0 �0�0�0�0 �0�0�0�0 �0�0�0�0  g'Y$P  g'Y$P 
</file>

<file path=customXml/item12.xml>�� �0�0�0 �0�0�0 �N�� �N��  g'Y$P  g'Y$P 
</file>

<file path=customXml/itemProps1.xml><?xml version="1.0" encoding="utf-8"?>
<ds:datastoreItem xmlns:ds="http://schemas.openxmlformats.org/officeDocument/2006/customXml" ds:itemID="{917AD01B-F3DE-42CB-A20A-FF127197A78E}">
  <ds:schemaRefs/>
</ds:datastoreItem>
</file>

<file path=customXml/itemProps2.xml><?xml version="1.0" encoding="utf-8"?>
<ds:datastoreItem xmlns:ds="http://schemas.openxmlformats.org/officeDocument/2006/customXml" ds:itemID="{FECF27E9-91EE-4B19-9E1C-883E71E36426}">
  <ds:schemaRefs/>
</ds:datastoreItem>
</file>

<file path=customXml/itemProps3.xml><?xml version="1.0" encoding="utf-8"?>
<ds:datastoreItem xmlns:ds="http://schemas.openxmlformats.org/officeDocument/2006/customXml" ds:itemID="{0199DECE-C47A-434A-852B-C322D46EFB0B}">
  <ds:schemaRefs/>
</ds:datastoreItem>
</file>

<file path=customXml/itemProps4.xml><?xml version="1.0" encoding="utf-8"?>
<ds:datastoreItem xmlns:ds="http://schemas.openxmlformats.org/officeDocument/2006/customXml" ds:itemID="{4254FDF8-7356-4E39-A5C1-5ED8E7B3161A}">
  <ds:schemaRefs/>
</ds:datastoreItem>
</file>

<file path=customXml/itemProps5.xml><?xml version="1.0" encoding="utf-8"?>
<ds:datastoreItem xmlns:ds="http://schemas.openxmlformats.org/officeDocument/2006/customXml" ds:itemID="{459419F3-9872-4F56-B52F-3DC192F81EE2}">
  <ds:schemaRefs/>
</ds:datastoreItem>
</file>

<file path=customXml/itemProps6.xml><?xml version="1.0" encoding="utf-8"?>
<ds:datastoreItem xmlns:ds="http://schemas.openxmlformats.org/officeDocument/2006/customXml" ds:itemID="{05CD614E-B299-4D31-B177-F52D70B1EDC3}">
  <ds:schemaRefs/>
</ds:datastoreItem>
</file>

<file path=customXml/itemProps7.xml><?xml version="1.0" encoding="utf-8"?>
<ds:datastoreItem xmlns:ds="http://schemas.openxmlformats.org/officeDocument/2006/customXml" ds:itemID="{7C0A5969-2016-44E6-B235-88E8F1D228E0}">
  <ds:schemaRefs/>
</ds:datastoreItem>
</file>

<file path=customXml/itemProps8.xml><?xml version="1.0" encoding="utf-8"?>
<ds:datastoreItem xmlns:ds="http://schemas.openxmlformats.org/officeDocument/2006/customXml" ds:itemID="{0B2F02B6-0CA1-489E-85AD-583EAE6D63A3}">
  <ds:schemaRefs/>
</ds:datastoreItem>
</file>

<file path=customXml/itemProps9.xml><?xml version="1.0" encoding="utf-8"?>
<ds:datastoreItem xmlns:ds="http://schemas.openxmlformats.org/officeDocument/2006/customXml" ds:itemID="{27F892FB-9519-4F37-8F67-AD4250083452}">
  <ds:schemaRefs/>
</ds:datastoreItem>
</file>

<file path=customXml/itemProps10.xml><?xml version="1.0" encoding="utf-8"?>
<ds:datastoreItem xmlns:ds="http://schemas.openxmlformats.org/officeDocument/2006/customXml" ds:itemID="{CBA42280-8A07-48D2-BBD9-F052C99F3B53}">
  <ds:schemaRefs/>
</ds:datastoreItem>
</file>

<file path=customXml/itemProps11.xml><?xml version="1.0" encoding="utf-8"?>
<ds:datastoreItem xmlns:ds="http://schemas.openxmlformats.org/officeDocument/2006/customXml" ds:itemID="{19F92809-040C-4BFE-8C0B-0892E35DF123}">
  <ds:schemaRefs/>
</ds:datastoreItem>
</file>

<file path=customXml/itemProps12.xml><?xml version="1.0" encoding="utf-8"?>
<ds:datastoreItem xmlns:ds="http://schemas.openxmlformats.org/officeDocument/2006/customXml" ds:itemID="{4994EBD9-63E5-4ACC-A85E-531981D9C90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18</vt:i4>
      </vt:variant>
    </vt:vector>
  </HeadingPairs>
  <TitlesOfParts>
    <vt:vector size="27" baseType="lpstr">
      <vt:lpstr>Records</vt:lpstr>
      <vt:lpstr>管理</vt:lpstr>
      <vt:lpstr>日毎の人員構成・人員別日毎の従事ライン</vt:lpstr>
      <vt:lpstr>ライン構成と人員別統計情報</vt:lpstr>
      <vt:lpstr>人員別従事ラインランキング</vt:lpstr>
      <vt:lpstr>従事率グラフ</vt:lpstr>
      <vt:lpstr>ツイスト率テーブル</vt:lpstr>
      <vt:lpstr>IP率テーブル</vt:lpstr>
      <vt:lpstr>茶わん蒸し率テーブル</vt:lpstr>
      <vt:lpstr>IP率テーブル!Print_Area</vt:lpstr>
      <vt:lpstr>Records!Print_Area</vt:lpstr>
      <vt:lpstr>ツイスト率テーブル!Print_Area</vt:lpstr>
      <vt:lpstr>ライン構成と人員別統計情報!Print_Area</vt:lpstr>
      <vt:lpstr>管理!Print_Area</vt:lpstr>
      <vt:lpstr>従事率グラフ!Print_Area</vt:lpstr>
      <vt:lpstr>人員別従事ラインランキング!Print_Area</vt:lpstr>
      <vt:lpstr>茶わん蒸し率テーブル!Print_Area</vt:lpstr>
      <vt:lpstr>日毎の人員構成・人員別日毎の従事ライン!Print_Area</vt:lpstr>
      <vt:lpstr>管理!Threshold</vt:lpstr>
      <vt:lpstr>茶わん蒸し率テーブル!さんP</vt:lpstr>
      <vt:lpstr>茶わん蒸し率テーブル!その他</vt:lpstr>
      <vt:lpstr>茶わん蒸し率テーブル!ツイストⅠ</vt:lpstr>
      <vt:lpstr>茶わん蒸し率テーブル!ツイストⅡ</vt:lpstr>
      <vt:lpstr>茶わん蒸し率テーブル!わんＰ</vt:lpstr>
      <vt:lpstr>小泉印刷</vt:lpstr>
      <vt:lpstr>茶わん蒸し率テーブル!茶わんむし</vt:lpstr>
      <vt:lpstr>ライン構成と人員別統計情報!名前行範囲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2023-08-27T05:58:53Z</cp:lastPrinted>
  <dcterms:created xsi:type="dcterms:W3CDTF">2015-06-05T18:19:34Z</dcterms:created>
  <dcterms:modified xsi:type="dcterms:W3CDTF">2024-01-01T04:59:09Z</dcterms:modified>
</cp:coreProperties>
</file>