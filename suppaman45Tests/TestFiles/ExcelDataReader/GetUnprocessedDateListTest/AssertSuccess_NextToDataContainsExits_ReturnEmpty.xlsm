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Reader\GetUnprocessedDateListTest\"/>
    </mc:Choice>
  </mc:AlternateContent>
  <xr:revisionPtr revIDLastSave="0" documentId="13_ncr:1_{78870395-E311-493A-958E-132C076DC4B8}" xr6:coauthVersionLast="47" xr6:coauthVersionMax="47" xr10:uidLastSave="{00000000-0000-0000-0000-000000000000}"/>
  <bookViews>
    <workbookView xWindow="6090" yWindow="3810" windowWidth="21600" windowHeight="12645" activeTab="1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UnprocessedDatesRange" localSheetId="1">管理!$C$4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8" l="1"/>
  <c r="D2" i="19"/>
  <c r="E2" i="19" s="1"/>
  <c r="H2" i="19" a="1"/>
  <c r="I2" i="19" a="1"/>
  <c r="F2" i="19" l="1"/>
  <c r="H2" i="19"/>
  <c r="B4" i="19"/>
  <c r="I2" i="19"/>
  <c r="B2" i="19" l="1"/>
  <c r="AE4" i="3" l="1"/>
  <c r="D2" i="18"/>
  <c r="C2" i="18"/>
  <c r="T50" i="14"/>
  <c r="U50" i="14"/>
  <c r="C45" i="19"/>
  <c r="B17" i="19"/>
  <c r="B15" i="19"/>
  <c r="C21" i="19"/>
  <c r="B47" i="19"/>
  <c r="B8" i="19"/>
  <c r="C43" i="19"/>
  <c r="C23" i="19"/>
  <c r="B23" i="19"/>
  <c r="C26" i="19"/>
  <c r="B45" i="19"/>
  <c r="B35" i="19"/>
  <c r="B24" i="19"/>
  <c r="C33" i="19"/>
  <c r="B34" i="19"/>
  <c r="B41" i="19"/>
  <c r="B14" i="19"/>
  <c r="C30" i="19"/>
  <c r="B27" i="19"/>
  <c r="C15" i="19"/>
  <c r="B39" i="19"/>
  <c r="C11" i="19"/>
  <c r="C29" i="19"/>
  <c r="C10" i="19"/>
  <c r="C25" i="19"/>
  <c r="B25" i="19"/>
  <c r="C24" i="19"/>
  <c r="B19" i="19"/>
  <c r="B12" i="19"/>
  <c r="C35" i="19"/>
  <c r="B42" i="19"/>
  <c r="B10" i="19"/>
  <c r="B48" i="19"/>
  <c r="B21" i="19"/>
  <c r="C27" i="19"/>
  <c r="C40" i="19"/>
  <c r="C12" i="19"/>
  <c r="B36" i="19"/>
  <c r="B32" i="19"/>
  <c r="C31" i="19"/>
  <c r="B29" i="19"/>
  <c r="C44" i="19"/>
  <c r="C16" i="19"/>
  <c r="C42" i="19"/>
  <c r="B7" i="19"/>
  <c r="C47" i="19"/>
  <c r="B11" i="19"/>
  <c r="C28" i="19"/>
  <c r="C48" i="19"/>
  <c r="C37" i="19"/>
  <c r="C34" i="19"/>
  <c r="C18" i="19"/>
  <c r="C9" i="19"/>
  <c r="B38" i="19"/>
  <c r="C8" i="19"/>
  <c r="C17" i="19"/>
  <c r="B9" i="19"/>
  <c r="C14" i="19"/>
  <c r="B31" i="19"/>
  <c r="B40" i="19"/>
  <c r="C32" i="19"/>
  <c r="B22" i="19"/>
  <c r="B18" i="19"/>
  <c r="B20" i="19"/>
  <c r="C38" i="19"/>
  <c r="B28" i="19"/>
  <c r="C46" i="19"/>
  <c r="C13" i="19"/>
  <c r="B16" i="19"/>
  <c r="C19" i="19"/>
  <c r="C39" i="19"/>
  <c r="C22" i="19"/>
  <c r="B13" i="19"/>
  <c r="C7" i="19"/>
  <c r="B44" i="19"/>
  <c r="B26" i="19"/>
  <c r="C41" i="19"/>
  <c r="B43" i="19"/>
  <c r="B46" i="19"/>
  <c r="C20" i="19"/>
  <c r="B33" i="19"/>
  <c r="B37" i="19"/>
  <c r="C36" i="19"/>
  <c r="B30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D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S44" i="17"/>
  <c r="R40" i="17"/>
  <c r="G20" i="19"/>
  <c r="R47" i="17"/>
  <c r="S38" i="17"/>
  <c r="G30" i="19"/>
  <c r="G18" i="19"/>
  <c r="G10" i="19"/>
  <c r="S41" i="17"/>
  <c r="S49" i="17"/>
  <c r="R43" i="17"/>
  <c r="S50" i="17"/>
  <c r="S53" i="17"/>
  <c r="G8" i="19"/>
  <c r="R53" i="17"/>
  <c r="R45" i="17"/>
  <c r="R44" i="17"/>
  <c r="R38" i="17"/>
  <c r="R51" i="17"/>
  <c r="G34" i="19"/>
  <c r="R34" i="17"/>
  <c r="G12" i="19"/>
  <c r="G11" i="19"/>
  <c r="G21" i="19"/>
  <c r="S34" i="17"/>
  <c r="G15" i="19"/>
  <c r="G22" i="19"/>
  <c r="G40" i="19"/>
  <c r="S52" i="17"/>
  <c r="G39" i="19"/>
  <c r="G35" i="19"/>
  <c r="R48" i="17"/>
  <c r="G27" i="19"/>
  <c r="R35" i="17"/>
  <c r="G9" i="19"/>
  <c r="G25" i="19"/>
  <c r="G48" i="19"/>
  <c r="G7" i="19"/>
  <c r="G37" i="19"/>
  <c r="G28" i="19"/>
  <c r="R37" i="17"/>
  <c r="G13" i="19"/>
  <c r="S54" i="17"/>
  <c r="G41" i="19"/>
  <c r="G32" i="19"/>
  <c r="R46" i="17"/>
  <c r="S37" i="17"/>
  <c r="G47" i="19"/>
  <c r="R39" i="17"/>
  <c r="S42" i="17"/>
  <c r="G23" i="19"/>
  <c r="S45" i="17"/>
  <c r="R41" i="17"/>
  <c r="R49" i="17"/>
  <c r="G16" i="19"/>
  <c r="S40" i="17"/>
  <c r="G26" i="19"/>
  <c r="S51" i="17"/>
  <c r="G24" i="19"/>
  <c r="G45" i="19"/>
  <c r="S46" i="17"/>
  <c r="G38" i="19"/>
  <c r="G42" i="19"/>
  <c r="S36" i="17"/>
  <c r="S43" i="17"/>
  <c r="S47" i="17"/>
  <c r="R54" i="17"/>
  <c r="R50" i="17"/>
  <c r="G29" i="19"/>
  <c r="S39" i="17"/>
  <c r="G44" i="19"/>
  <c r="S48" i="17"/>
  <c r="R42" i="17"/>
  <c r="R52" i="17"/>
  <c r="G46" i="19"/>
  <c r="G43" i="19"/>
  <c r="G36" i="19"/>
  <c r="R36" i="17"/>
  <c r="G14" i="19"/>
  <c r="G31" i="19"/>
  <c r="S35" i="17"/>
  <c r="G33" i="19"/>
  <c r="G17" i="19"/>
  <c r="G19" i="19"/>
  <c r="C5" i="18" l="1"/>
  <c r="D5" i="18" s="1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G46" i="17"/>
  <c r="AG50" i="17"/>
  <c r="AF35" i="17"/>
  <c r="AG37" i="17"/>
  <c r="AG38" i="17"/>
  <c r="AF39" i="17"/>
  <c r="AG41" i="17"/>
  <c r="AG40" i="17"/>
  <c r="AG35" i="17"/>
  <c r="AG49" i="17"/>
  <c r="AG43" i="17"/>
  <c r="AG54" i="17"/>
  <c r="AF40" i="17"/>
  <c r="AF45" i="17"/>
  <c r="AF52" i="17"/>
  <c r="AG47" i="17"/>
  <c r="AF38" i="17"/>
  <c r="AG34" i="17"/>
  <c r="AF42" i="17"/>
  <c r="AG39" i="17"/>
  <c r="AF43" i="17"/>
  <c r="AF34" i="17"/>
  <c r="AG53" i="17"/>
  <c r="AF36" i="17"/>
  <c r="AG36" i="17"/>
  <c r="AF44" i="17"/>
  <c r="AG48" i="17"/>
  <c r="AF48" i="17"/>
  <c r="AG44" i="17"/>
  <c r="AF50" i="17"/>
  <c r="AF53" i="17"/>
  <c r="AF49" i="17"/>
  <c r="AF41" i="17"/>
  <c r="AG42" i="17"/>
  <c r="AG51" i="17"/>
  <c r="AF37" i="17"/>
  <c r="AF46" i="17"/>
  <c r="AG45" i="17"/>
  <c r="AF54" i="17"/>
  <c r="AG52" i="17"/>
  <c r="AF47" i="17"/>
  <c r="AF51" i="17"/>
  <c r="C6" i="18" l="1"/>
  <c r="D6" i="18" s="1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7" i="18" s="1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8" i="18" s="1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R33" i="17"/>
  <c r="S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9" i="18" s="1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10" i="18" s="1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Y52" i="17"/>
  <c r="AZ52" i="17"/>
  <c r="AY53" i="17"/>
  <c r="S4" i="17"/>
  <c r="R4" i="17"/>
  <c r="AY55" i="17"/>
  <c r="AY54" i="17"/>
  <c r="Q4" i="17"/>
  <c r="AZ53" i="17"/>
  <c r="F4" i="17"/>
  <c r="AZ55" i="17"/>
  <c r="AZ54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1" i="18" s="1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AX53" i="17"/>
  <c r="AX54" i="17"/>
  <c r="BA52" i="17"/>
  <c r="BA53" i="17"/>
  <c r="AX52" i="17"/>
  <c r="BB2" i="17" l="1"/>
  <c r="C12" i="18"/>
  <c r="D12" i="18" s="1"/>
  <c r="AK34" i="17"/>
  <c r="BC5" i="17"/>
  <c r="BB6" i="17"/>
  <c r="BB1" i="17"/>
  <c r="BA55" i="17"/>
  <c r="AX55" i="17"/>
  <c r="BA54" i="17"/>
  <c r="BB54" i="17"/>
  <c r="BC2" i="17" l="1"/>
  <c r="C13" i="18"/>
  <c r="D13" i="18" s="1"/>
  <c r="AK41" i="17"/>
  <c r="BD5" i="17"/>
  <c r="BC6" i="17"/>
  <c r="BC1" i="17"/>
  <c r="BC52" i="17"/>
  <c r="BB55" i="17"/>
  <c r="BB53" i="17"/>
  <c r="BC54" i="17"/>
  <c r="BB52" i="17"/>
  <c r="BC55" i="17"/>
  <c r="BD1" i="17" l="1"/>
  <c r="AK48" i="17"/>
  <c r="AJ55" i="17"/>
  <c r="C14" i="18"/>
  <c r="D14" i="18" s="1"/>
  <c r="BE5" i="17"/>
  <c r="BD6" i="17"/>
  <c r="BD2" i="17"/>
  <c r="BD52" i="17"/>
  <c r="BC53" i="17"/>
  <c r="BD53" i="17"/>
  <c r="AK55" i="17" l="1"/>
  <c r="AJ62" i="17"/>
  <c r="C15" i="18"/>
  <c r="D15" i="18" s="1"/>
  <c r="BE1" i="17"/>
  <c r="BE6" i="17"/>
  <c r="BE2" i="17"/>
  <c r="BF5" i="17"/>
  <c r="BD54" i="17"/>
  <c r="BD55" i="17"/>
  <c r="BE53" i="17"/>
  <c r="BE54" i="17"/>
  <c r="BE52" i="17"/>
  <c r="AK62" i="17" l="1"/>
  <c r="AJ69" i="17"/>
  <c r="AJ76" i="17" s="1"/>
  <c r="C16" i="18"/>
  <c r="D16" i="18" s="1"/>
  <c r="BF6" i="17"/>
  <c r="BF2" i="17"/>
  <c r="BG5" i="17"/>
  <c r="BF1" i="17"/>
  <c r="BF53" i="17"/>
  <c r="BE55" i="17"/>
  <c r="AK69" i="17" l="1"/>
  <c r="C17" i="18"/>
  <c r="D17" i="18" s="1"/>
  <c r="BG6" i="17"/>
  <c r="BG2" i="17"/>
  <c r="BG1" i="17"/>
  <c r="BH5" i="17"/>
  <c r="BG55" i="17"/>
  <c r="BF55" i="17"/>
  <c r="BF54" i="17"/>
  <c r="BG53" i="17"/>
  <c r="BF52" i="17"/>
  <c r="AK76" i="17" l="1"/>
  <c r="AJ83" i="17"/>
  <c r="C18" i="18"/>
  <c r="D18" i="18" s="1"/>
  <c r="BH2" i="17"/>
  <c r="BI5" i="17"/>
  <c r="BH1" i="17"/>
  <c r="BH6" i="17"/>
  <c r="BH53" i="17"/>
  <c r="BG54" i="17"/>
  <c r="BH52" i="17"/>
  <c r="BH54" i="17"/>
  <c r="BG52" i="17"/>
  <c r="AK83" i="17" l="1"/>
  <c r="AJ90" i="17"/>
  <c r="C19" i="18"/>
  <c r="D19" i="18" s="1"/>
  <c r="BI2" i="17"/>
  <c r="BJ5" i="17"/>
  <c r="BI1" i="17"/>
  <c r="BI6" i="17"/>
  <c r="BI55" i="17"/>
  <c r="BH55" i="17"/>
  <c r="BI54" i="17"/>
  <c r="BI53" i="17"/>
  <c r="AK90" i="17" l="1"/>
  <c r="AJ97" i="17"/>
  <c r="C20" i="18"/>
  <c r="D20" i="18" s="1"/>
  <c r="BJ6" i="17"/>
  <c r="BJ1" i="17"/>
  <c r="BK5" i="17"/>
  <c r="BJ2" i="17"/>
  <c r="BI52" i="17"/>
  <c r="AK97" i="17" l="1"/>
  <c r="AJ104" i="17"/>
  <c r="C21" i="18"/>
  <c r="D21" i="18" s="1"/>
  <c r="BK1" i="17"/>
  <c r="BL5" i="17"/>
  <c r="BK6" i="17"/>
  <c r="BK2" i="17"/>
  <c r="AK104" i="17" l="1"/>
  <c r="AJ111" i="17"/>
  <c r="C22" i="18"/>
  <c r="D22" i="18" s="1"/>
  <c r="BL6" i="17"/>
  <c r="BL2" i="17"/>
  <c r="BM5" i="17"/>
  <c r="BL1" i="17"/>
  <c r="AK111" i="17" l="1"/>
  <c r="AJ118" i="17"/>
  <c r="C23" i="18"/>
  <c r="D23" i="18" s="1"/>
  <c r="BM6" i="17"/>
  <c r="BM2" i="17"/>
  <c r="BN5" i="17"/>
  <c r="BM1" i="17"/>
  <c r="P12" i="17"/>
  <c r="S16" i="17"/>
  <c r="O9" i="17"/>
  <c r="BK52" i="17"/>
  <c r="M23" i="17"/>
  <c r="O16" i="17"/>
  <c r="S23" i="17"/>
  <c r="R9" i="17"/>
  <c r="P11" i="17"/>
  <c r="P15" i="17"/>
  <c r="O7" i="17"/>
  <c r="O25" i="17"/>
  <c r="R8" i="17"/>
  <c r="N7" i="17"/>
  <c r="N12" i="17"/>
  <c r="S12" i="17"/>
  <c r="K6" i="17"/>
  <c r="P28" i="17"/>
  <c r="S11" i="17"/>
  <c r="N11" i="17"/>
  <c r="P30" i="17"/>
  <c r="M24" i="17"/>
  <c r="R18" i="17"/>
  <c r="R28" i="17"/>
  <c r="AF33" i="17"/>
  <c r="M31" i="17"/>
  <c r="O18" i="17"/>
  <c r="T5" i="17"/>
  <c r="S17" i="17"/>
  <c r="M11" i="17"/>
  <c r="R30" i="17"/>
  <c r="M20" i="17"/>
  <c r="O29" i="17"/>
  <c r="P4" i="17"/>
  <c r="N10" i="17"/>
  <c r="P22" i="17"/>
  <c r="R17" i="17"/>
  <c r="S26" i="17"/>
  <c r="P29" i="17"/>
  <c r="R7" i="17"/>
  <c r="BJ54" i="17"/>
  <c r="O15" i="17"/>
  <c r="N26" i="17"/>
  <c r="O8" i="17"/>
  <c r="O12" i="17"/>
  <c r="S25" i="17"/>
  <c r="N31" i="17"/>
  <c r="S21" i="17"/>
  <c r="N4" i="17"/>
  <c r="N27" i="17"/>
  <c r="BK54" i="17"/>
  <c r="S9" i="17"/>
  <c r="P17" i="17"/>
  <c r="S18" i="17"/>
  <c r="N14" i="17"/>
  <c r="BJ53" i="17"/>
  <c r="N30" i="17"/>
  <c r="S32" i="17"/>
  <c r="S29" i="17"/>
  <c r="L6" i="17"/>
  <c r="S8" i="17"/>
  <c r="M14" i="17"/>
  <c r="R31" i="17"/>
  <c r="M13" i="17"/>
  <c r="O13" i="17"/>
  <c r="R20" i="17"/>
  <c r="O23" i="17"/>
  <c r="R14" i="17"/>
  <c r="M27" i="17"/>
  <c r="M19" i="17"/>
  <c r="R21" i="17"/>
  <c r="P9" i="17"/>
  <c r="N5" i="17"/>
  <c r="N32" i="17"/>
  <c r="S7" i="17"/>
  <c r="T4" i="17"/>
  <c r="R24" i="17"/>
  <c r="O14" i="17"/>
  <c r="M32" i="17"/>
  <c r="M22" i="17"/>
  <c r="N8" i="17"/>
  <c r="O11" i="17"/>
  <c r="P10" i="17"/>
  <c r="O30" i="17"/>
  <c r="N21" i="17"/>
  <c r="P23" i="17"/>
  <c r="BL55" i="17"/>
  <c r="M12" i="17"/>
  <c r="M6" i="17"/>
  <c r="S19" i="17"/>
  <c r="BK55" i="17"/>
  <c r="S24" i="17"/>
  <c r="O5" i="17"/>
  <c r="N23" i="17"/>
  <c r="S27" i="17"/>
  <c r="P18" i="17"/>
  <c r="R23" i="17"/>
  <c r="P13" i="17"/>
  <c r="O28" i="17"/>
  <c r="P6" i="17"/>
  <c r="BJ55" i="17"/>
  <c r="N22" i="17"/>
  <c r="O4" i="17"/>
  <c r="P20" i="17"/>
  <c r="S5" i="17"/>
  <c r="R12" i="17"/>
  <c r="BL54" i="17"/>
  <c r="N16" i="17"/>
  <c r="N18" i="17"/>
  <c r="S22" i="17"/>
  <c r="BM53" i="17"/>
  <c r="R29" i="17"/>
  <c r="O31" i="17"/>
  <c r="S15" i="17"/>
  <c r="M5" i="17"/>
  <c r="S14" i="17"/>
  <c r="M26" i="17"/>
  <c r="BL53" i="17"/>
  <c r="O21" i="17"/>
  <c r="R6" i="17"/>
  <c r="N15" i="17"/>
  <c r="R22" i="17"/>
  <c r="O6" i="17"/>
  <c r="R15" i="17"/>
  <c r="M10" i="17"/>
  <c r="R5" i="17"/>
  <c r="M28" i="17"/>
  <c r="N17" i="17"/>
  <c r="P8" i="17"/>
  <c r="R16" i="17"/>
  <c r="N24" i="17"/>
  <c r="P21" i="17"/>
  <c r="M17" i="17"/>
  <c r="M8" i="17"/>
  <c r="N25" i="17"/>
  <c r="N19" i="17"/>
  <c r="O10" i="17"/>
  <c r="N6" i="17"/>
  <c r="O17" i="17"/>
  <c r="P16" i="17"/>
  <c r="R19" i="17"/>
  <c r="P24" i="17"/>
  <c r="F6" i="17"/>
  <c r="M7" i="17"/>
  <c r="P25" i="17"/>
  <c r="M18" i="17"/>
  <c r="P32" i="17"/>
  <c r="S6" i="17"/>
  <c r="S10" i="17"/>
  <c r="S20" i="17"/>
  <c r="N13" i="17"/>
  <c r="BK53" i="17"/>
  <c r="O32" i="17"/>
  <c r="P27" i="17"/>
  <c r="R13" i="17"/>
  <c r="P31" i="17"/>
  <c r="R11" i="17"/>
  <c r="P19" i="17"/>
  <c r="M21" i="17"/>
  <c r="M25" i="17"/>
  <c r="O27" i="17"/>
  <c r="N20" i="17"/>
  <c r="N28" i="17"/>
  <c r="L4" i="17"/>
  <c r="O20" i="17"/>
  <c r="O19" i="17"/>
  <c r="O26" i="17"/>
  <c r="R32" i="17"/>
  <c r="P5" i="17"/>
  <c r="N9" i="17"/>
  <c r="P14" i="17"/>
  <c r="O22" i="17"/>
  <c r="S31" i="17"/>
  <c r="S13" i="17"/>
  <c r="R10" i="17"/>
  <c r="R25" i="17"/>
  <c r="R26" i="17"/>
  <c r="M30" i="17"/>
  <c r="S30" i="17"/>
  <c r="P7" i="17"/>
  <c r="M16" i="17"/>
  <c r="BL52" i="17"/>
  <c r="M9" i="17"/>
  <c r="M29" i="17"/>
  <c r="S28" i="17"/>
  <c r="N29" i="17"/>
  <c r="R27" i="17"/>
  <c r="M15" i="17"/>
  <c r="O24" i="17"/>
  <c r="BJ52" i="17"/>
  <c r="P26" i="17"/>
  <c r="AG33" i="17"/>
  <c r="AJ125" i="17" l="1"/>
  <c r="AK118" i="17"/>
  <c r="C24" i="18"/>
  <c r="D24" i="18" s="1"/>
  <c r="BO5" i="17"/>
  <c r="BN1" i="17"/>
  <c r="BN6" i="17"/>
  <c r="BN2" i="17"/>
  <c r="AC19" i="17"/>
  <c r="AF10" i="17"/>
  <c r="AF6" i="17"/>
  <c r="AF21" i="17"/>
  <c r="AF11" i="17"/>
  <c r="AG13" i="17"/>
  <c r="AC28" i="17"/>
  <c r="AC6" i="17"/>
  <c r="AD26" i="17"/>
  <c r="AD20" i="17"/>
  <c r="AF12" i="17"/>
  <c r="AG12" i="17"/>
  <c r="AC31" i="17"/>
  <c r="AG17" i="17"/>
  <c r="BM52" i="17"/>
  <c r="AG5" i="17"/>
  <c r="AG23" i="17"/>
  <c r="AC8" i="17"/>
  <c r="AF32" i="17"/>
  <c r="AF26" i="17"/>
  <c r="AD16" i="17"/>
  <c r="AG19" i="17"/>
  <c r="AF23" i="17"/>
  <c r="AC11" i="17"/>
  <c r="AG29" i="17"/>
  <c r="BN55" i="17"/>
  <c r="AF15" i="17"/>
  <c r="AF7" i="17"/>
  <c r="AF19" i="17"/>
  <c r="AG15" i="17"/>
  <c r="AD12" i="17"/>
  <c r="AF20" i="17"/>
  <c r="AD28" i="17"/>
  <c r="AC13" i="17"/>
  <c r="AF24" i="17"/>
  <c r="AF14" i="17"/>
  <c r="AG7" i="17"/>
  <c r="BM54" i="17"/>
  <c r="AD27" i="17"/>
  <c r="AD11" i="17"/>
  <c r="AC23" i="17"/>
  <c r="AG14" i="17"/>
  <c r="AF28" i="17"/>
  <c r="AC27" i="17"/>
  <c r="BM55" i="17"/>
  <c r="AC21" i="17"/>
  <c r="AF9" i="17"/>
  <c r="AC30" i="17"/>
  <c r="AD14" i="17"/>
  <c r="AG27" i="17"/>
  <c r="AG16" i="17"/>
  <c r="AD32" i="17"/>
  <c r="AD18" i="17"/>
  <c r="AC7" i="17"/>
  <c r="AD19" i="17"/>
  <c r="AG18" i="17"/>
  <c r="AD9" i="17"/>
  <c r="AD8" i="17"/>
  <c r="AD23" i="17"/>
  <c r="AF13" i="17"/>
  <c r="AD29" i="17"/>
  <c r="AG10" i="17"/>
  <c r="AG24" i="17"/>
  <c r="AG22" i="17"/>
  <c r="AF16" i="17"/>
  <c r="AC14" i="17"/>
  <c r="AC26" i="17"/>
  <c r="AC17" i="17"/>
  <c r="AG6" i="17"/>
  <c r="AD17" i="17"/>
  <c r="AF25" i="17"/>
  <c r="AF17" i="17"/>
  <c r="AF8" i="17"/>
  <c r="BN52" i="17"/>
  <c r="AF27" i="17"/>
  <c r="AG26" i="17"/>
  <c r="AG9" i="17"/>
  <c r="AC29" i="17"/>
  <c r="AG11" i="17"/>
  <c r="AD6" i="17"/>
  <c r="AC20" i="17"/>
  <c r="AC18" i="17"/>
  <c r="AD25" i="17"/>
  <c r="AG25" i="17"/>
  <c r="AD22" i="17"/>
  <c r="AF18" i="17"/>
  <c r="AF5" i="17"/>
  <c r="AF31" i="17"/>
  <c r="AD21" i="17"/>
  <c r="AD31" i="17"/>
  <c r="AG20" i="17"/>
  <c r="AD15" i="17"/>
  <c r="AD24" i="17"/>
  <c r="AG28" i="17"/>
  <c r="AC25" i="17"/>
  <c r="AC9" i="17"/>
  <c r="AC15" i="17"/>
  <c r="AD30" i="17"/>
  <c r="AG32" i="17"/>
  <c r="AG8" i="17"/>
  <c r="AC16" i="17"/>
  <c r="AC12" i="17"/>
  <c r="BN54" i="17"/>
  <c r="AC10" i="17"/>
  <c r="AD10" i="17"/>
  <c r="AD13" i="17"/>
  <c r="AF22" i="17"/>
  <c r="AC22" i="17"/>
  <c r="AG21" i="17"/>
  <c r="AC24" i="17"/>
  <c r="AA5" i="17"/>
  <c r="AD5" i="17"/>
  <c r="AC5" i="17"/>
  <c r="AG30" i="17"/>
  <c r="AC32" i="17"/>
  <c r="AG31" i="17"/>
  <c r="AF30" i="17"/>
  <c r="BN53" i="17"/>
  <c r="AD7" i="17"/>
  <c r="AF29" i="17"/>
  <c r="AJ132" i="17" l="1"/>
  <c r="AK125" i="17"/>
  <c r="C25" i="18"/>
  <c r="D25" i="18" s="1"/>
  <c r="BO2" i="17"/>
  <c r="BO1" i="17"/>
  <c r="BP5" i="17"/>
  <c r="BO6" i="17"/>
  <c r="BO52" i="17"/>
  <c r="AJ139" i="17" l="1"/>
  <c r="AK132" i="17"/>
  <c r="C26" i="18"/>
  <c r="D26" i="18" s="1"/>
  <c r="BP1" i="17"/>
  <c r="BP6" i="17"/>
  <c r="BP2" i="17"/>
  <c r="BQ5" i="17"/>
  <c r="BO55" i="17"/>
  <c r="BP52" i="17"/>
  <c r="BP54" i="17"/>
  <c r="BO53" i="17"/>
  <c r="BO54" i="17"/>
  <c r="BP53" i="17"/>
  <c r="AK139" i="17" l="1"/>
  <c r="AJ146" i="17"/>
  <c r="C27" i="18"/>
  <c r="D27" i="18" s="1"/>
  <c r="BQ1" i="17"/>
  <c r="BR5" i="17"/>
  <c r="BQ2" i="17"/>
  <c r="BQ6" i="17"/>
  <c r="BP55" i="17"/>
  <c r="BQ54" i="17"/>
  <c r="AK146" i="17" l="1"/>
  <c r="AJ153" i="17"/>
  <c r="C28" i="18"/>
  <c r="D28" i="18" s="1"/>
  <c r="BS5" i="17"/>
  <c r="BR1" i="17"/>
  <c r="BR2" i="17"/>
  <c r="BR6" i="17"/>
  <c r="BQ52" i="17"/>
  <c r="BR53" i="17"/>
  <c r="BQ55" i="17"/>
  <c r="BQ53" i="17"/>
  <c r="BR54" i="17"/>
  <c r="AJ160" i="17" l="1"/>
  <c r="AK153" i="17"/>
  <c r="C29" i="18"/>
  <c r="D29" i="18" s="1"/>
  <c r="BS1" i="17"/>
  <c r="BS2" i="17"/>
  <c r="BS6" i="17"/>
  <c r="BT5" i="17"/>
  <c r="BS55" i="17"/>
  <c r="BR52" i="17"/>
  <c r="BR55" i="17"/>
  <c r="BS53" i="17"/>
  <c r="AK160" i="17" l="1"/>
  <c r="AJ167" i="17"/>
  <c r="C30" i="18"/>
  <c r="D30" i="18" s="1"/>
  <c r="BU5" i="17"/>
  <c r="BT6" i="17"/>
  <c r="BT1" i="17"/>
  <c r="BT2" i="17"/>
  <c r="BT53" i="17"/>
  <c r="BS54" i="17"/>
  <c r="BS52" i="17"/>
  <c r="BT55" i="17"/>
  <c r="C31" i="18" l="1"/>
  <c r="AJ174" i="17"/>
  <c r="AK167" i="17"/>
  <c r="BV5" i="17"/>
  <c r="BU2" i="17"/>
  <c r="BU6" i="17"/>
  <c r="BU1" i="17"/>
  <c r="BT52" i="17"/>
  <c r="BU54" i="17"/>
  <c r="BT54" i="17"/>
  <c r="D31" i="18" l="1"/>
  <c r="D1" i="18" s="1"/>
  <c r="C32" i="18"/>
  <c r="AK174" i="17"/>
  <c r="AJ181" i="17"/>
  <c r="BV1" i="17"/>
  <c r="BW5" i="17"/>
  <c r="BV6" i="17"/>
  <c r="BV2" i="17"/>
  <c r="BU52" i="17"/>
  <c r="BU55" i="17"/>
  <c r="BV55" i="17"/>
  <c r="BV54" i="17"/>
  <c r="BU53" i="17"/>
  <c r="C5" i="9" l="1"/>
  <c r="D32" i="18"/>
  <c r="C33" i="18"/>
  <c r="D33" i="18" s="1"/>
  <c r="C1" i="18"/>
  <c r="AZ4" i="9" s="1"/>
  <c r="B5" i="19"/>
  <c r="AK181" i="17"/>
  <c r="AJ188" i="17"/>
  <c r="BX5" i="17"/>
  <c r="BW6" i="17"/>
  <c r="BW1" i="17"/>
  <c r="BW2" i="17"/>
  <c r="BW52" i="17"/>
  <c r="BW55" i="17"/>
  <c r="BV53" i="17"/>
  <c r="BW54" i="17"/>
  <c r="BW53" i="17"/>
  <c r="BV52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X55" i="17"/>
  <c r="BY55" i="17"/>
  <c r="BY54" i="17"/>
  <c r="BX54" i="17"/>
  <c r="BY52" i="17"/>
  <c r="BX52" i="17"/>
  <c r="BY53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5" i="17"/>
  <c r="BZ53" i="17"/>
  <c r="AI14" i="17" l="1"/>
  <c r="BZ54" i="17"/>
  <c r="BZ52" i="17"/>
  <c r="AI7" i="17" l="1"/>
  <c r="D46" i="19" l="1"/>
  <c r="D44" i="19"/>
  <c r="D48" i="19"/>
  <c r="D45" i="19"/>
  <c r="D47" i="19" l="1"/>
  <c r="AI26" i="17" l="1"/>
  <c r="AI21" i="17"/>
  <c r="D43" i="19"/>
  <c r="AI16" i="17"/>
  <c r="AI189" i="17" l="1"/>
  <c r="AI22" i="17"/>
  <c r="AI37" i="17"/>
  <c r="AI129" i="17"/>
  <c r="AI36" i="17"/>
  <c r="AI40" i="17"/>
  <c r="AI115" i="17"/>
  <c r="AI126" i="17"/>
  <c r="AI67" i="17"/>
  <c r="AI145" i="17"/>
  <c r="AI141" i="17"/>
  <c r="AI148" i="17"/>
  <c r="AI163" i="17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AI39" i="17"/>
  <c r="AI52" i="17"/>
  <c r="AI47" i="17"/>
  <c r="AI182" i="17"/>
  <c r="AI60" i="17"/>
  <c r="AI112" i="17"/>
  <c r="AI143" i="17"/>
  <c r="AI91" i="17"/>
  <c r="AI102" i="17"/>
  <c r="AI78" i="17"/>
  <c r="AI19" i="17"/>
  <c r="AI185" i="17"/>
  <c r="AI49" i="17"/>
  <c r="AI192" i="17"/>
  <c r="AI166" i="17"/>
  <c r="AI50" i="17"/>
  <c r="AI186" i="17"/>
  <c r="AI57" i="17"/>
  <c r="AI58" i="17"/>
  <c r="AI137" i="17"/>
  <c r="AI100" i="17"/>
  <c r="AI114" i="17"/>
  <c r="AI116" i="17"/>
  <c r="AI180" i="17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Q20" i="17"/>
  <c r="F29" i="17"/>
  <c r="BB8" i="17"/>
  <c r="AX14" i="17"/>
  <c r="BN25" i="17"/>
  <c r="BF23" i="17"/>
  <c r="BY51" i="17"/>
  <c r="BN36" i="17"/>
  <c r="BJ14" i="17"/>
  <c r="BK32" i="17"/>
  <c r="BT19" i="17"/>
  <c r="I42" i="19"/>
  <c r="BB47" i="17"/>
  <c r="BU36" i="17"/>
  <c r="AX23" i="17"/>
  <c r="BI19" i="17"/>
  <c r="Q13" i="17"/>
  <c r="I7" i="19"/>
  <c r="BF11" i="17"/>
  <c r="BQ24" i="17"/>
  <c r="BI50" i="17"/>
  <c r="BJ47" i="17"/>
  <c r="BH17" i="17"/>
  <c r="J48" i="19"/>
  <c r="BS23" i="17"/>
  <c r="J27" i="19"/>
  <c r="AY48" i="17"/>
  <c r="BM31" i="17"/>
  <c r="BR44" i="17"/>
  <c r="K20" i="19" a="1"/>
  <c r="AZ32" i="17"/>
  <c r="BI18" i="17"/>
  <c r="BK34" i="17"/>
  <c r="BW48" i="17"/>
  <c r="I28" i="19"/>
  <c r="BA40" i="17"/>
  <c r="AM16" i="17" a="1"/>
  <c r="BS30" i="17"/>
  <c r="BP19" i="17"/>
  <c r="BV28" i="17"/>
  <c r="BM16" i="17"/>
  <c r="AZ15" i="17"/>
  <c r="BT24" i="17"/>
  <c r="BM27" i="17"/>
  <c r="AX12" i="17"/>
  <c r="BL32" i="17"/>
  <c r="F10" i="17"/>
  <c r="BO34" i="17"/>
  <c r="BU16" i="17"/>
  <c r="BO28" i="17"/>
  <c r="BZ50" i="17"/>
  <c r="J16" i="19"/>
  <c r="BU32" i="17"/>
  <c r="BV17" i="17"/>
  <c r="BQ12" i="17"/>
  <c r="BX13" i="17"/>
  <c r="BL47" i="17"/>
  <c r="BZ19" i="17"/>
  <c r="BB23" i="17"/>
  <c r="Q7" i="17"/>
  <c r="AZ26" i="17"/>
  <c r="J12" i="19"/>
  <c r="BZ44" i="17"/>
  <c r="BQ28" i="17"/>
  <c r="AZ29" i="17"/>
  <c r="AA31" i="17"/>
  <c r="BF43" i="17"/>
  <c r="AX30" i="17"/>
  <c r="BM44" i="17"/>
  <c r="BX23" i="17"/>
  <c r="BI39" i="17"/>
  <c r="AZ37" i="17"/>
  <c r="BI31" i="17"/>
  <c r="BN34" i="17"/>
  <c r="BU35" i="17"/>
  <c r="BB45" i="17"/>
  <c r="BQ17" i="17"/>
  <c r="BX29" i="17"/>
  <c r="BN44" i="17"/>
  <c r="J16" i="17"/>
  <c r="BA37" i="17"/>
  <c r="BR8" i="17"/>
  <c r="BT21" i="17"/>
  <c r="BR13" i="17"/>
  <c r="J14" i="19"/>
  <c r="AL14" i="17" a="1"/>
  <c r="BG37" i="17"/>
  <c r="Q19" i="17"/>
  <c r="BV7" i="17"/>
  <c r="BD27" i="17"/>
  <c r="BV32" i="17"/>
  <c r="BM50" i="17"/>
  <c r="BT34" i="17"/>
  <c r="BE22" i="17"/>
  <c r="AY40" i="17"/>
  <c r="BP30" i="17"/>
  <c r="BG51" i="17"/>
  <c r="AY13" i="17"/>
  <c r="BL43" i="17"/>
  <c r="AD4" i="17"/>
  <c r="BM30" i="17"/>
  <c r="BI21" i="17"/>
  <c r="BM33" i="17"/>
  <c r="BM15" i="17"/>
  <c r="BH41" i="17"/>
  <c r="BX31" i="17"/>
  <c r="BV9" i="17"/>
  <c r="BW13" i="17"/>
  <c r="BW43" i="17"/>
  <c r="BE51" i="17"/>
  <c r="BF12" i="17"/>
  <c r="BX8" i="17"/>
  <c r="BO50" i="17"/>
  <c r="AY20" i="17"/>
  <c r="BH16" i="17"/>
  <c r="BV19" i="17"/>
  <c r="BA14" i="17"/>
  <c r="BG26" i="17"/>
  <c r="BK9" i="17"/>
  <c r="BL16" i="17"/>
  <c r="BQ22" i="17"/>
  <c r="BX7" i="17"/>
  <c r="J17" i="19"/>
  <c r="BS49" i="17"/>
  <c r="BC19" i="17"/>
  <c r="BW36" i="17"/>
  <c r="BT27" i="17"/>
  <c r="BL41" i="17"/>
  <c r="J6" i="17"/>
  <c r="BG48" i="17"/>
  <c r="BH43" i="17"/>
  <c r="AX15" i="17"/>
  <c r="BF45" i="17"/>
  <c r="BK27" i="17"/>
  <c r="K45" i="19" a="1"/>
  <c r="H6" i="17"/>
  <c r="BW8" i="17"/>
  <c r="BU8" i="17"/>
  <c r="BC20" i="17"/>
  <c r="BZ22" i="17"/>
  <c r="BL9" i="17"/>
  <c r="BK23" i="17"/>
  <c r="BR18" i="17"/>
  <c r="BU18" i="17"/>
  <c r="BD25" i="17"/>
  <c r="AY41" i="17"/>
  <c r="BI11" i="17"/>
  <c r="AY23" i="17"/>
  <c r="AA8" i="17"/>
  <c r="BD31" i="17"/>
  <c r="L32" i="17"/>
  <c r="L29" i="17"/>
  <c r="J26" i="19"/>
  <c r="BP46" i="17"/>
  <c r="BP15" i="17"/>
  <c r="BY13" i="17"/>
  <c r="BP22" i="17"/>
  <c r="BS7" i="17"/>
  <c r="K31" i="17"/>
  <c r="I14" i="19"/>
  <c r="G17" i="17"/>
  <c r="J23" i="19"/>
  <c r="BL20" i="17"/>
  <c r="I7" i="17"/>
  <c r="BX33" i="17"/>
  <c r="AY25" i="17"/>
  <c r="J33" i="19"/>
  <c r="BG31" i="17"/>
  <c r="AY44" i="17"/>
  <c r="BT28" i="17"/>
  <c r="L9" i="17"/>
  <c r="BG27" i="17"/>
  <c r="BE35" i="17"/>
  <c r="AQ21" i="17" a="1"/>
  <c r="BK22" i="17"/>
  <c r="BQ42" i="17"/>
  <c r="BX46" i="17"/>
  <c r="BL21" i="17"/>
  <c r="BU13" i="17"/>
  <c r="BV14" i="17"/>
  <c r="J18" i="17"/>
  <c r="F19" i="17"/>
  <c r="BD23" i="17"/>
  <c r="BX10" i="17"/>
  <c r="BQ15" i="17"/>
  <c r="BE9" i="17"/>
  <c r="J9" i="17"/>
  <c r="BK12" i="17"/>
  <c r="BV21" i="17"/>
  <c r="BZ32" i="17"/>
  <c r="BM9" i="17"/>
  <c r="BA17" i="17"/>
  <c r="BV37" i="17"/>
  <c r="BK31" i="17"/>
  <c r="BE36" i="17"/>
  <c r="BA30" i="17"/>
  <c r="AY8" i="17"/>
  <c r="BJ32" i="17"/>
  <c r="G8" i="17"/>
  <c r="AK7" i="17" a="1"/>
  <c r="BD17" i="17"/>
  <c r="BB46" i="17"/>
  <c r="BP29" i="17"/>
  <c r="BO39" i="17"/>
  <c r="BD44" i="17"/>
  <c r="BV16" i="17"/>
  <c r="Q9" i="17"/>
  <c r="BD35" i="17"/>
  <c r="BX21" i="17"/>
  <c r="BL35" i="17"/>
  <c r="BI42" i="17"/>
  <c r="K14" i="19" a="1"/>
  <c r="BW29" i="17"/>
  <c r="BD46" i="17"/>
  <c r="H15" i="17"/>
  <c r="BO29" i="17"/>
  <c r="BT9" i="17"/>
  <c r="BC37" i="17"/>
  <c r="AY19" i="17"/>
  <c r="L15" i="17"/>
  <c r="BW42" i="17"/>
  <c r="BP48" i="17"/>
  <c r="I4" i="17"/>
  <c r="AZ21" i="17"/>
  <c r="BU45" i="17"/>
  <c r="G32" i="17"/>
  <c r="BQ35" i="17"/>
  <c r="BI7" i="17"/>
  <c r="L5" i="17"/>
  <c r="K48" i="19" a="1"/>
  <c r="BV22" i="17"/>
  <c r="BO35" i="17"/>
  <c r="AR7" i="17" a="1"/>
  <c r="AT14" i="17" a="1"/>
  <c r="BW46" i="17"/>
  <c r="BK49" i="17"/>
  <c r="BT38" i="17"/>
  <c r="AZ36" i="17"/>
  <c r="BB50" i="17"/>
  <c r="J27" i="17"/>
  <c r="BK10" i="17"/>
  <c r="AZ19" i="17"/>
  <c r="BC38" i="17"/>
  <c r="AA20" i="17"/>
  <c r="I21" i="17"/>
  <c r="K23" i="19" a="1"/>
  <c r="BX27" i="17"/>
  <c r="BC45" i="17"/>
  <c r="BL23" i="17"/>
  <c r="I47" i="19"/>
  <c r="BG25" i="17"/>
  <c r="BO37" i="17"/>
  <c r="K38" i="19" a="1"/>
  <c r="BT11" i="17"/>
  <c r="J19" i="19"/>
  <c r="BY12" i="17"/>
  <c r="BN30" i="17"/>
  <c r="BC47" i="17"/>
  <c r="BK25" i="17"/>
  <c r="AZ12" i="17"/>
  <c r="BP47" i="17"/>
  <c r="BL18" i="17"/>
  <c r="BX50" i="17"/>
  <c r="AY49" i="17"/>
  <c r="BC11" i="17"/>
  <c r="BA20" i="17"/>
  <c r="AP16" i="17" a="1"/>
  <c r="K13" i="17"/>
  <c r="BP9" i="17"/>
  <c r="BN46" i="17"/>
  <c r="BF42" i="17"/>
  <c r="BG42" i="17"/>
  <c r="BJ15" i="17"/>
  <c r="BL29" i="17"/>
  <c r="K12" i="19" a="1"/>
  <c r="BT33" i="17"/>
  <c r="AP14" i="17" a="1"/>
  <c r="K15" i="17"/>
  <c r="BF37" i="17"/>
  <c r="BL50" i="17"/>
  <c r="BS37" i="17"/>
  <c r="BL30" i="17"/>
  <c r="BK43" i="17"/>
  <c r="BG10" i="17"/>
  <c r="BY33" i="17"/>
  <c r="H25" i="17"/>
  <c r="BT40" i="17"/>
  <c r="BY9" i="17"/>
  <c r="K12" i="17"/>
  <c r="I34" i="19"/>
  <c r="BS19" i="17"/>
  <c r="BL28" i="17"/>
  <c r="BH18" i="17"/>
  <c r="K24" i="19" a="1"/>
  <c r="BB41" i="17"/>
  <c r="BL11" i="17"/>
  <c r="K28" i="19" a="1"/>
  <c r="BF25" i="17"/>
  <c r="BW44" i="17"/>
  <c r="BE14" i="17"/>
  <c r="K34" i="19" a="1"/>
  <c r="I22" i="19"/>
  <c r="H26" i="17"/>
  <c r="BQ27" i="17"/>
  <c r="BB9" i="17"/>
  <c r="BS28" i="17"/>
  <c r="F18" i="17"/>
  <c r="Q11" i="17"/>
  <c r="BU22" i="17"/>
  <c r="BL7" i="17"/>
  <c r="BA32" i="17"/>
  <c r="I18" i="19"/>
  <c r="J44" i="19"/>
  <c r="BW50" i="17"/>
  <c r="BE13" i="17"/>
  <c r="BY31" i="17"/>
  <c r="BF46" i="17"/>
  <c r="BC33" i="17"/>
  <c r="BN18" i="17"/>
  <c r="BY41" i="17"/>
  <c r="BN31" i="17"/>
  <c r="BA29" i="17"/>
  <c r="BU50" i="17"/>
  <c r="BT20" i="17"/>
  <c r="BZ24" i="17"/>
  <c r="BM11" i="17"/>
  <c r="BN28" i="17"/>
  <c r="AX29" i="17"/>
  <c r="L24" i="17"/>
  <c r="BR38" i="17"/>
  <c r="AY46" i="17"/>
  <c r="BD22" i="17"/>
  <c r="J22" i="17"/>
  <c r="BG49" i="17"/>
  <c r="BX51" i="17"/>
  <c r="AX44" i="17"/>
  <c r="BI8" i="17"/>
  <c r="BS46" i="17"/>
  <c r="G24" i="17"/>
  <c r="BK40" i="17"/>
  <c r="G25" i="17"/>
  <c r="J5" i="17"/>
  <c r="AZ22" i="17"/>
  <c r="BP40" i="17"/>
  <c r="AZ31" i="17"/>
  <c r="BQ25" i="17"/>
  <c r="BF51" i="17"/>
  <c r="I38" i="19"/>
  <c r="BY28" i="17"/>
  <c r="I18" i="17"/>
  <c r="BH34" i="17"/>
  <c r="F15" i="17"/>
  <c r="BX22" i="17"/>
  <c r="H20" i="17"/>
  <c r="BV42" i="17"/>
  <c r="BN42" i="17"/>
  <c r="AY45" i="17"/>
  <c r="BN47" i="17"/>
  <c r="H10" i="17"/>
  <c r="BT45" i="17"/>
  <c r="BH38" i="17"/>
  <c r="BU12" i="17"/>
  <c r="BH20" i="17"/>
  <c r="BZ23" i="17"/>
  <c r="BA48" i="17"/>
  <c r="BR39" i="17"/>
  <c r="BS25" i="17"/>
  <c r="BF22" i="17"/>
  <c r="BB21" i="17"/>
  <c r="BD38" i="17"/>
  <c r="BD15" i="17"/>
  <c r="BC43" i="17"/>
  <c r="BX11" i="17"/>
  <c r="BE33" i="17"/>
  <c r="BY18" i="17"/>
  <c r="BG23" i="17"/>
  <c r="BW15" i="17"/>
  <c r="BL42" i="17"/>
  <c r="BY34" i="17"/>
  <c r="BV29" i="17"/>
  <c r="AX13" i="17"/>
  <c r="I17" i="17"/>
  <c r="AM14" i="17" a="1"/>
  <c r="BH13" i="17"/>
  <c r="L26" i="17"/>
  <c r="BM18" i="17"/>
  <c r="H18" i="17"/>
  <c r="BM34" i="17"/>
  <c r="BS18" i="17"/>
  <c r="BW31" i="17"/>
  <c r="K15" i="19" a="1"/>
  <c r="BI36" i="17"/>
  <c r="H21" i="17"/>
  <c r="K23" i="17"/>
  <c r="BG35" i="17"/>
  <c r="G4" i="17"/>
  <c r="J13" i="17"/>
  <c r="BN41" i="17"/>
  <c r="BM42" i="17"/>
  <c r="AX47" i="17"/>
  <c r="J37" i="19"/>
  <c r="BF27" i="17"/>
  <c r="BC35" i="17"/>
  <c r="F24" i="17"/>
  <c r="J32" i="17"/>
  <c r="AX16" i="17"/>
  <c r="BG18" i="17"/>
  <c r="BA12" i="17"/>
  <c r="BN21" i="17"/>
  <c r="BU21" i="17"/>
  <c r="AX8" i="17"/>
  <c r="BO15" i="17"/>
  <c r="BY24" i="17"/>
  <c r="J13" i="19"/>
  <c r="BS44" i="17"/>
  <c r="BN17" i="17"/>
  <c r="BB26" i="17"/>
  <c r="AY9" i="17"/>
  <c r="BY10" i="17"/>
  <c r="BP36" i="17"/>
  <c r="BL39" i="17"/>
  <c r="BP45" i="17"/>
  <c r="BD40" i="17"/>
  <c r="BA35" i="17"/>
  <c r="AZ41" i="17"/>
  <c r="BU31" i="17"/>
  <c r="BO48" i="17"/>
  <c r="BJ22" i="17"/>
  <c r="BL13" i="17"/>
  <c r="BS39" i="17"/>
  <c r="AK26" i="17" a="1"/>
  <c r="BT10" i="17"/>
  <c r="K7" i="19" a="1"/>
  <c r="BJ33" i="17"/>
  <c r="AS14" i="17" a="1"/>
  <c r="AX10" i="17"/>
  <c r="J24" i="19"/>
  <c r="BB31" i="17"/>
  <c r="F21" i="17"/>
  <c r="Z4" i="17"/>
  <c r="BW28" i="17"/>
  <c r="BT46" i="17"/>
  <c r="BW37" i="17"/>
  <c r="BB39" i="17"/>
  <c r="BF28" i="17"/>
  <c r="BL49" i="17"/>
  <c r="K39" i="19" a="1"/>
  <c r="AZ40" i="17"/>
  <c r="BC8" i="17"/>
  <c r="BJ21" i="17"/>
  <c r="Q21" i="17"/>
  <c r="BP38" i="17"/>
  <c r="BA49" i="17"/>
  <c r="BJ19" i="17"/>
  <c r="BJ29" i="17"/>
  <c r="L28" i="17"/>
  <c r="BF34" i="17"/>
  <c r="BR25" i="17"/>
  <c r="BV20" i="17"/>
  <c r="BJ50" i="17"/>
  <c r="BZ39" i="17"/>
  <c r="K19" i="17"/>
  <c r="BK44" i="17"/>
  <c r="BP20" i="17"/>
  <c r="AA15" i="17"/>
  <c r="BV8" i="17"/>
  <c r="Q15" i="17"/>
  <c r="BR16" i="17"/>
  <c r="BO33" i="17"/>
  <c r="BB19" i="17"/>
  <c r="BF20" i="17"/>
  <c r="BI22" i="17"/>
  <c r="BH19" i="17"/>
  <c r="BK30" i="17"/>
  <c r="BH44" i="17"/>
  <c r="BL8" i="17"/>
  <c r="BS17" i="17"/>
  <c r="BC21" i="17"/>
  <c r="BC30" i="17"/>
  <c r="AA17" i="17"/>
  <c r="BG24" i="17"/>
  <c r="K11" i="17"/>
  <c r="AX19" i="17"/>
  <c r="AA24" i="17"/>
  <c r="L25" i="17"/>
  <c r="BE40" i="17"/>
  <c r="BC34" i="17"/>
  <c r="BY26" i="17"/>
  <c r="F14" i="17"/>
  <c r="BH40" i="17"/>
  <c r="Q25" i="17"/>
  <c r="BF18" i="17"/>
  <c r="BL46" i="17"/>
  <c r="BO30" i="17"/>
  <c r="BW10" i="17"/>
  <c r="BB29" i="17"/>
  <c r="BP41" i="17"/>
  <c r="BJ30" i="17"/>
  <c r="BK38" i="17"/>
  <c r="BA9" i="17"/>
  <c r="AA7" i="17"/>
  <c r="BF7" i="17"/>
  <c r="BV27" i="17"/>
  <c r="AX49" i="17"/>
  <c r="BM25" i="17"/>
  <c r="BX20" i="17"/>
  <c r="J28" i="17"/>
  <c r="BK17" i="17"/>
  <c r="BE30" i="17"/>
  <c r="BF10" i="17"/>
  <c r="BP42" i="17"/>
  <c r="J32" i="19"/>
  <c r="BP43" i="17"/>
  <c r="H23" i="17"/>
  <c r="Q5" i="17"/>
  <c r="BZ29" i="17"/>
  <c r="BD42" i="17"/>
  <c r="BG45" i="17"/>
  <c r="AX40" i="17"/>
  <c r="BM46" i="17"/>
  <c r="AX31" i="17"/>
  <c r="BB34" i="17"/>
  <c r="BK11" i="17"/>
  <c r="BC27" i="17"/>
  <c r="BZ49" i="17"/>
  <c r="G10" i="17"/>
  <c r="AT7" i="17" a="1"/>
  <c r="I16" i="17"/>
  <c r="BH26" i="17"/>
  <c r="BH45" i="17"/>
  <c r="AK14" i="17" a="1"/>
  <c r="AA30" i="17"/>
  <c r="I29" i="17"/>
  <c r="BJ25" i="17"/>
  <c r="K37" i="19" a="1"/>
  <c r="BC28" i="17"/>
  <c r="AS26" i="17" a="1"/>
  <c r="BU20" i="17"/>
  <c r="BK33" i="17"/>
  <c r="AQ16" i="17" a="1"/>
  <c r="K9" i="17"/>
  <c r="BV51" i="17"/>
  <c r="BZ12" i="17"/>
  <c r="BX19" i="17"/>
  <c r="AY16" i="17"/>
  <c r="BH42" i="17"/>
  <c r="BA8" i="17"/>
  <c r="BF44" i="17"/>
  <c r="I17" i="19"/>
  <c r="BH36" i="17"/>
  <c r="I46" i="19"/>
  <c r="BC24" i="17"/>
  <c r="BG11" i="17"/>
  <c r="I35" i="19"/>
  <c r="BO16" i="17"/>
  <c r="Q29" i="17"/>
  <c r="BQ9" i="17"/>
  <c r="Y6" i="17"/>
  <c r="J23" i="17"/>
  <c r="BT22" i="17"/>
  <c r="BM51" i="17"/>
  <c r="BW19" i="17"/>
  <c r="BQ14" i="17"/>
  <c r="BR33" i="17"/>
  <c r="AY29" i="17"/>
  <c r="J42" i="19"/>
  <c r="BM32" i="17"/>
  <c r="AX18" i="17"/>
  <c r="BR29" i="17"/>
  <c r="AX9" i="17"/>
  <c r="BE34" i="17"/>
  <c r="BV40" i="17"/>
  <c r="BA33" i="17"/>
  <c r="BP25" i="17"/>
  <c r="BT8" i="17"/>
  <c r="J45" i="19"/>
  <c r="AX20" i="17"/>
  <c r="BM7" i="17"/>
  <c r="BZ37" i="17"/>
  <c r="BX15" i="17"/>
  <c r="F31" i="17"/>
  <c r="BW51" i="17"/>
  <c r="BI12" i="17"/>
  <c r="BV18" i="17"/>
  <c r="BK19" i="17"/>
  <c r="BM37" i="17"/>
  <c r="BM48" i="17"/>
  <c r="K25" i="19" a="1"/>
  <c r="BL48" i="17"/>
  <c r="J31" i="19"/>
  <c r="BH12" i="17"/>
  <c r="BP21" i="17"/>
  <c r="J12" i="17"/>
  <c r="BQ7" i="17"/>
  <c r="BF31" i="17"/>
  <c r="G27" i="17"/>
  <c r="K35" i="19" a="1"/>
  <c r="BS15" i="17"/>
  <c r="BC23" i="17"/>
  <c r="BV25" i="17"/>
  <c r="AZ44" i="17"/>
  <c r="L7" i="17"/>
  <c r="AQ14" i="17" a="1"/>
  <c r="BM20" i="17"/>
  <c r="BT12" i="17"/>
  <c r="AY31" i="17"/>
  <c r="H27" i="17"/>
  <c r="BA11" i="17"/>
  <c r="BZ16" i="17"/>
  <c r="BM43" i="17"/>
  <c r="BY17" i="17"/>
  <c r="J10" i="19"/>
  <c r="L21" i="17"/>
  <c r="BK8" i="17"/>
  <c r="BP24" i="17"/>
  <c r="BS35" i="17"/>
  <c r="BW41" i="17"/>
  <c r="AZ10" i="17"/>
  <c r="AY10" i="17"/>
  <c r="BZ41" i="17"/>
  <c r="AX46" i="17"/>
  <c r="BV35" i="17"/>
  <c r="K21" i="19" a="1"/>
  <c r="BI17" i="17"/>
  <c r="BS43" i="17"/>
  <c r="I39" i="19"/>
  <c r="BV11" i="17"/>
  <c r="BU23" i="17"/>
  <c r="BE8" i="17"/>
  <c r="AZ16" i="17"/>
  <c r="BE45" i="17"/>
  <c r="BE42" i="17"/>
  <c r="BP49" i="17"/>
  <c r="K43" i="19" a="1"/>
  <c r="BZ48" i="17"/>
  <c r="BX17" i="17"/>
  <c r="BM24" i="17"/>
  <c r="K33" i="19" a="1"/>
  <c r="BC40" i="17"/>
  <c r="BJ11" i="17"/>
  <c r="BE48" i="17"/>
  <c r="BC17" i="17"/>
  <c r="BR9" i="17"/>
  <c r="K7" i="17"/>
  <c r="BO14" i="17"/>
  <c r="BA15" i="17"/>
  <c r="BG8" i="17"/>
  <c r="BC10" i="17"/>
  <c r="BD45" i="17"/>
  <c r="BA45" i="17"/>
  <c r="J26" i="17"/>
  <c r="J7" i="19"/>
  <c r="BV38" i="17"/>
  <c r="I9" i="19"/>
  <c r="BS45" i="17"/>
  <c r="BB40" i="17"/>
  <c r="BB27" i="17"/>
  <c r="BK36" i="17"/>
  <c r="AX24" i="17"/>
  <c r="AY24" i="17"/>
  <c r="BW47" i="17"/>
  <c r="BS36" i="17"/>
  <c r="K27" i="19" a="1"/>
  <c r="BY38" i="17"/>
  <c r="BK47" i="17"/>
  <c r="K40" i="19" a="1"/>
  <c r="BE20" i="17"/>
  <c r="BO21" i="17"/>
  <c r="BY39" i="17"/>
  <c r="F25" i="17"/>
  <c r="BD24" i="17"/>
  <c r="BR30" i="17"/>
  <c r="AA22" i="17"/>
  <c r="I11" i="17"/>
  <c r="BK35" i="17"/>
  <c r="BV46" i="17"/>
  <c r="L18" i="17"/>
  <c r="BR24" i="17"/>
  <c r="BR14" i="17"/>
  <c r="AZ50" i="17"/>
  <c r="BF29" i="17"/>
  <c r="Z6" i="17"/>
  <c r="BK41" i="17"/>
  <c r="BD43" i="17"/>
  <c r="K30" i="19" a="1"/>
  <c r="BL14" i="17"/>
  <c r="BE26" i="17"/>
  <c r="AZ30" i="17"/>
  <c r="BE27" i="17"/>
  <c r="BO9" i="17"/>
  <c r="AA23" i="17"/>
  <c r="J8" i="17"/>
  <c r="Q22" i="17"/>
  <c r="BB24" i="17"/>
  <c r="I30" i="17"/>
  <c r="BX36" i="17"/>
  <c r="G30" i="17"/>
  <c r="BT7" i="17"/>
  <c r="L27" i="17"/>
  <c r="V5" i="17"/>
  <c r="BH25" i="17"/>
  <c r="F23" i="17"/>
  <c r="BS8" i="17"/>
  <c r="BS31" i="17"/>
  <c r="H28" i="17"/>
  <c r="BU7" i="17"/>
  <c r="AZ24" i="17"/>
  <c r="BY47" i="17"/>
  <c r="J30" i="17"/>
  <c r="AX34" i="17"/>
  <c r="J25" i="19"/>
  <c r="Q12" i="17"/>
  <c r="BG50" i="17"/>
  <c r="K18" i="17"/>
  <c r="BJ10" i="17"/>
  <c r="BE21" i="17"/>
  <c r="BZ17" i="17"/>
  <c r="BQ21" i="17"/>
  <c r="AM21" i="17" a="1"/>
  <c r="BY23" i="17"/>
  <c r="BC48" i="17"/>
  <c r="L20" i="17"/>
  <c r="BI15" i="17"/>
  <c r="BJ45" i="17"/>
  <c r="BJ41" i="17"/>
  <c r="BG43" i="17"/>
  <c r="BY43" i="17"/>
  <c r="I10" i="17"/>
  <c r="AZ17" i="17"/>
  <c r="BI28" i="17"/>
  <c r="BU44" i="17"/>
  <c r="J38" i="19"/>
  <c r="H17" i="17"/>
  <c r="BW45" i="17"/>
  <c r="BZ42" i="17"/>
  <c r="BU11" i="17"/>
  <c r="BD9" i="17"/>
  <c r="BA51" i="17"/>
  <c r="AZ42" i="17"/>
  <c r="BA7" i="17"/>
  <c r="BL15" i="17"/>
  <c r="BB48" i="17"/>
  <c r="BF35" i="17"/>
  <c r="BI47" i="17"/>
  <c r="BD11" i="17"/>
  <c r="I11" i="19"/>
  <c r="J22" i="19"/>
  <c r="BX47" i="17"/>
  <c r="BZ31" i="17"/>
  <c r="I33" i="19"/>
  <c r="BW7" i="17"/>
  <c r="BE24" i="17"/>
  <c r="BJ18" i="17"/>
  <c r="BP39" i="17"/>
  <c r="BV12" i="17"/>
  <c r="BO51" i="17"/>
  <c r="BZ20" i="17"/>
  <c r="F32" i="17"/>
  <c r="K47" i="19" a="1"/>
  <c r="BH22" i="17"/>
  <c r="BQ13" i="17"/>
  <c r="I48" i="19"/>
  <c r="BQ16" i="17"/>
  <c r="AR14" i="17" a="1"/>
  <c r="BJ24" i="17"/>
  <c r="BJ38" i="17"/>
  <c r="AX27" i="17"/>
  <c r="AK21" i="17" a="1"/>
  <c r="BW17" i="17"/>
  <c r="BJ35" i="17"/>
  <c r="AX22" i="17"/>
  <c r="BI49" i="17"/>
  <c r="AX33" i="17"/>
  <c r="BD29" i="17"/>
  <c r="BI38" i="17"/>
  <c r="BY25" i="17"/>
  <c r="I41" i="19"/>
  <c r="BW9" i="17"/>
  <c r="BM8" i="17"/>
  <c r="AY7" i="17"/>
  <c r="AZ38" i="17"/>
  <c r="BG38" i="17"/>
  <c r="AN7" i="17" a="1"/>
  <c r="AX25" i="17"/>
  <c r="Q28" i="17"/>
  <c r="BQ8" i="17"/>
  <c r="BM21" i="17"/>
  <c r="BU26" i="17"/>
  <c r="K46" i="19" a="1"/>
  <c r="BQ50" i="17"/>
  <c r="BS48" i="17"/>
  <c r="BV15" i="17"/>
  <c r="I15" i="19"/>
  <c r="BJ42" i="17"/>
  <c r="BY48" i="17"/>
  <c r="BC49" i="17"/>
  <c r="AA14" i="17"/>
  <c r="F20" i="17"/>
  <c r="BX38" i="17"/>
  <c r="BS12" i="17"/>
  <c r="BF39" i="17"/>
  <c r="BH21" i="17"/>
  <c r="BK21" i="17"/>
  <c r="BX39" i="17"/>
  <c r="AZ49" i="17"/>
  <c r="BX18" i="17"/>
  <c r="AO16" i="17" a="1"/>
  <c r="BY37" i="17"/>
  <c r="BU28" i="17"/>
  <c r="BW22" i="17"/>
  <c r="BY11" i="17"/>
  <c r="BG33" i="17"/>
  <c r="AZ33" i="17"/>
  <c r="J7" i="17"/>
  <c r="H24" i="17"/>
  <c r="BT51" i="17"/>
  <c r="BR26" i="17"/>
  <c r="BI20" i="17"/>
  <c r="F13" i="17"/>
  <c r="BC18" i="17"/>
  <c r="BG14" i="17"/>
  <c r="AQ7" i="17" a="1"/>
  <c r="BW27" i="17"/>
  <c r="BM35" i="17"/>
  <c r="BA38" i="17"/>
  <c r="BQ41" i="17"/>
  <c r="BX24" i="17"/>
  <c r="AZ7" i="17"/>
  <c r="AA28" i="17"/>
  <c r="BQ10" i="17"/>
  <c r="BN22" i="17"/>
  <c r="BI16" i="17"/>
  <c r="F8" i="17"/>
  <c r="AY43" i="17"/>
  <c r="L22" i="17"/>
  <c r="BE17" i="17"/>
  <c r="J14" i="17"/>
  <c r="BN40" i="17"/>
  <c r="K16" i="17"/>
  <c r="AA13" i="17"/>
  <c r="BP35" i="17"/>
  <c r="BZ36" i="17"/>
  <c r="BM40" i="17"/>
  <c r="BV26" i="17"/>
  <c r="L8" i="17"/>
  <c r="BA26" i="17"/>
  <c r="BM22" i="17"/>
  <c r="L16" i="17"/>
  <c r="BN24" i="17"/>
  <c r="BD36" i="17"/>
  <c r="BY19" i="17"/>
  <c r="BX37" i="17"/>
  <c r="BL31" i="17"/>
  <c r="BN50" i="17"/>
  <c r="BG21" i="17"/>
  <c r="BC14" i="17"/>
  <c r="BC41" i="17"/>
  <c r="BF15" i="17"/>
  <c r="BT49" i="17"/>
  <c r="BB18" i="17"/>
  <c r="BQ19" i="17"/>
  <c r="BH28" i="17"/>
  <c r="BU40" i="17"/>
  <c r="BE11" i="17"/>
  <c r="BY8" i="17"/>
  <c r="BG22" i="17"/>
  <c r="BQ36" i="17"/>
  <c r="AZ25" i="17"/>
  <c r="AY50" i="17"/>
  <c r="BJ49" i="17"/>
  <c r="BN35" i="17"/>
  <c r="BN19" i="17"/>
  <c r="BI45" i="17"/>
  <c r="BV33" i="17"/>
  <c r="BZ46" i="17"/>
  <c r="BE47" i="17"/>
  <c r="I43" i="19"/>
  <c r="BF32" i="17"/>
  <c r="BQ37" i="17"/>
  <c r="BN15" i="17"/>
  <c r="BK45" i="17"/>
  <c r="BV10" i="17"/>
  <c r="BP18" i="17"/>
  <c r="BX48" i="17"/>
  <c r="BP17" i="17"/>
  <c r="I13" i="17"/>
  <c r="Q31" i="17"/>
  <c r="BU14" i="17"/>
  <c r="BO44" i="17"/>
  <c r="BJ7" i="17"/>
  <c r="BV47" i="17"/>
  <c r="BF21" i="17"/>
  <c r="BB38" i="17"/>
  <c r="J43" i="19"/>
  <c r="BG20" i="17"/>
  <c r="BG30" i="17"/>
  <c r="K24" i="17"/>
  <c r="BG15" i="17"/>
  <c r="BV45" i="17"/>
  <c r="BW39" i="17"/>
  <c r="BQ48" i="17"/>
  <c r="BF41" i="17"/>
  <c r="K32" i="17"/>
  <c r="L31" i="17"/>
  <c r="J15" i="19"/>
  <c r="BZ45" i="17"/>
  <c r="BR42" i="17"/>
  <c r="BX26" i="17"/>
  <c r="BP44" i="17"/>
  <c r="I14" i="17"/>
  <c r="BK14" i="17"/>
  <c r="BH37" i="17"/>
  <c r="BP8" i="17"/>
  <c r="J11" i="17"/>
  <c r="AY11" i="17"/>
  <c r="BL19" i="17"/>
  <c r="BE50" i="17"/>
  <c r="BA25" i="17"/>
  <c r="BH47" i="17"/>
  <c r="BU33" i="17"/>
  <c r="BI10" i="17"/>
  <c r="AX37" i="17"/>
  <c r="BM29" i="17"/>
  <c r="BZ43" i="17"/>
  <c r="H8" i="17"/>
  <c r="BM38" i="17"/>
  <c r="BP51" i="17"/>
  <c r="BU38" i="17"/>
  <c r="BT29" i="17"/>
  <c r="BJ26" i="17"/>
  <c r="BX44" i="17"/>
  <c r="AN21" i="17" a="1"/>
  <c r="BX12" i="17"/>
  <c r="I15" i="17"/>
  <c r="BY16" i="17"/>
  <c r="BP27" i="17"/>
  <c r="BT41" i="17"/>
  <c r="BM17" i="17"/>
  <c r="I24" i="17"/>
  <c r="BN32" i="17"/>
  <c r="BL25" i="17"/>
  <c r="BO23" i="17"/>
  <c r="BS33" i="17"/>
  <c r="BW18" i="17"/>
  <c r="BW40" i="17"/>
  <c r="AA12" i="17"/>
  <c r="BZ21" i="17"/>
  <c r="AX43" i="17"/>
  <c r="I6" i="17"/>
  <c r="BY21" i="17"/>
  <c r="BY29" i="17"/>
  <c r="BJ36" i="17"/>
  <c r="H13" i="17"/>
  <c r="AZ43" i="17"/>
  <c r="BH48" i="17"/>
  <c r="BL45" i="17"/>
  <c r="BL36" i="17"/>
  <c r="BI46" i="17"/>
  <c r="BS41" i="17"/>
  <c r="BR28" i="17"/>
  <c r="J20" i="19"/>
  <c r="BF8" i="17"/>
  <c r="F22" i="17"/>
  <c r="BU34" i="17"/>
  <c r="BW16" i="17"/>
  <c r="T6" i="17"/>
  <c r="BM23" i="17"/>
  <c r="BQ34" i="17"/>
  <c r="BD12" i="17"/>
  <c r="J40" i="19"/>
  <c r="BQ40" i="17"/>
  <c r="I22" i="17"/>
  <c r="AY34" i="17"/>
  <c r="I25" i="17"/>
  <c r="BX45" i="17"/>
  <c r="BJ16" i="17"/>
  <c r="BF48" i="17"/>
  <c r="BB37" i="17"/>
  <c r="AO7" i="17" a="1"/>
  <c r="BN37" i="17"/>
  <c r="AA16" i="17"/>
  <c r="F12" i="17"/>
  <c r="AY35" i="17"/>
  <c r="BU48" i="17"/>
  <c r="AZ23" i="17"/>
  <c r="BB7" i="17"/>
  <c r="AA32" i="17"/>
  <c r="BZ13" i="17"/>
  <c r="BI37" i="17"/>
  <c r="BD26" i="17"/>
  <c r="BT18" i="17"/>
  <c r="BO42" i="17"/>
  <c r="G23" i="17"/>
  <c r="BG41" i="17"/>
  <c r="AM26" i="17" a="1"/>
  <c r="AX21" i="17"/>
  <c r="BG12" i="17"/>
  <c r="BK15" i="17"/>
  <c r="AY51" i="17"/>
  <c r="Q27" i="17"/>
  <c r="BX28" i="17"/>
  <c r="BO36" i="17"/>
  <c r="BD21" i="17"/>
  <c r="BY46" i="17"/>
  <c r="BG36" i="17"/>
  <c r="BN33" i="17"/>
  <c r="BZ8" i="17"/>
  <c r="K5" i="17"/>
  <c r="BS10" i="17"/>
  <c r="BC25" i="17"/>
  <c r="BT15" i="17"/>
  <c r="I29" i="19"/>
  <c r="BV48" i="17"/>
  <c r="K19" i="19" a="1"/>
  <c r="AB4" i="17"/>
  <c r="AT16" i="17" a="1"/>
  <c r="BH51" i="17"/>
  <c r="BC26" i="17"/>
  <c r="AZ9" i="17"/>
  <c r="AZ48" i="17"/>
  <c r="BR49" i="17"/>
  <c r="BT25" i="17"/>
  <c r="BA22" i="17"/>
  <c r="L13" i="17"/>
  <c r="I27" i="17"/>
  <c r="BH50" i="17"/>
  <c r="AY12" i="17"/>
  <c r="BS24" i="17"/>
  <c r="BB13" i="17"/>
  <c r="K14" i="17"/>
  <c r="Q23" i="17"/>
  <c r="BP7" i="17"/>
  <c r="BI43" i="17"/>
  <c r="I36" i="19"/>
  <c r="BN11" i="17"/>
  <c r="BZ34" i="17"/>
  <c r="BS13" i="17"/>
  <c r="BI41" i="17"/>
  <c r="BM49" i="17"/>
  <c r="BH27" i="17"/>
  <c r="BC51" i="17"/>
  <c r="BO49" i="17"/>
  <c r="BI23" i="17"/>
  <c r="BG7" i="17"/>
  <c r="I5" i="17"/>
  <c r="BU9" i="17"/>
  <c r="BO18" i="17"/>
  <c r="BP16" i="17"/>
  <c r="BH11" i="17"/>
  <c r="BF47" i="17"/>
  <c r="BS20" i="17"/>
  <c r="K28" i="17"/>
  <c r="BF50" i="17"/>
  <c r="K13" i="19" a="1"/>
  <c r="BB33" i="17"/>
  <c r="BM26" i="17"/>
  <c r="BE25" i="17"/>
  <c r="AY28" i="17"/>
  <c r="BZ25" i="17"/>
  <c r="BO47" i="17"/>
  <c r="BA36" i="17"/>
  <c r="AO21" i="17" a="1"/>
  <c r="BF14" i="17"/>
  <c r="BU24" i="17"/>
  <c r="BN27" i="17"/>
  <c r="BY36" i="17"/>
  <c r="BO22" i="17"/>
  <c r="K44" i="19" a="1"/>
  <c r="AY30" i="17"/>
  <c r="BJ9" i="17"/>
  <c r="BO40" i="17"/>
  <c r="BD19" i="17"/>
  <c r="AY22" i="17"/>
  <c r="BD34" i="17"/>
  <c r="J29" i="19"/>
  <c r="BG34" i="17"/>
  <c r="BK37" i="17"/>
  <c r="BJ31" i="17"/>
  <c r="BE10" i="17"/>
  <c r="BD39" i="17"/>
  <c r="BY45" i="17"/>
  <c r="BZ15" i="17"/>
  <c r="BQ45" i="17"/>
  <c r="BY44" i="17"/>
  <c r="BR40" i="17"/>
  <c r="Q10" i="17"/>
  <c r="BN45" i="17"/>
  <c r="BD28" i="17"/>
  <c r="BL37" i="17"/>
  <c r="BA23" i="17"/>
  <c r="BO46" i="17"/>
  <c r="BX16" i="17"/>
  <c r="BI24" i="17"/>
  <c r="BV39" i="17"/>
  <c r="BF33" i="17"/>
  <c r="BE16" i="17"/>
  <c r="BD48" i="17"/>
  <c r="BI25" i="17"/>
  <c r="BY50" i="17"/>
  <c r="BV34" i="17"/>
  <c r="BA21" i="17"/>
  <c r="BA10" i="17"/>
  <c r="BA24" i="17"/>
  <c r="BR37" i="17"/>
  <c r="BK46" i="17"/>
  <c r="BC50" i="17"/>
  <c r="BN48" i="17"/>
  <c r="BE18" i="17"/>
  <c r="BO31" i="17"/>
  <c r="BZ47" i="17"/>
  <c r="BB44" i="17"/>
  <c r="BJ37" i="17"/>
  <c r="BW20" i="17"/>
  <c r="BH46" i="17"/>
  <c r="I8" i="17"/>
  <c r="BI26" i="17"/>
  <c r="BK39" i="17"/>
  <c r="BR47" i="17"/>
  <c r="BV43" i="17"/>
  <c r="BP37" i="17"/>
  <c r="BA44" i="17"/>
  <c r="BG28" i="17"/>
  <c r="BS32" i="17"/>
  <c r="BT26" i="17"/>
  <c r="BP13" i="17"/>
  <c r="BE7" i="17"/>
  <c r="BR41" i="17"/>
  <c r="AY26" i="17"/>
  <c r="BC22" i="17"/>
  <c r="BR15" i="17"/>
  <c r="BW11" i="17"/>
  <c r="Q26" i="17"/>
  <c r="G18" i="17"/>
  <c r="BZ9" i="17"/>
  <c r="BP32" i="17"/>
  <c r="I8" i="19"/>
  <c r="AY21" i="17"/>
  <c r="BO32" i="17"/>
  <c r="BT14" i="17"/>
  <c r="G9" i="17"/>
  <c r="BH31" i="17"/>
  <c r="BU41" i="17"/>
  <c r="BC39" i="17"/>
  <c r="BU10" i="17"/>
  <c r="I12" i="19"/>
  <c r="BW38" i="17"/>
  <c r="BR45" i="17"/>
  <c r="BX41" i="17"/>
  <c r="AX11" i="17"/>
  <c r="BJ51" i="17"/>
  <c r="AY18" i="17"/>
  <c r="BJ23" i="17"/>
  <c r="AS7" i="17" a="1"/>
  <c r="BY35" i="17"/>
  <c r="BQ26" i="17"/>
  <c r="AM7" i="17" a="1"/>
  <c r="BI14" i="17"/>
  <c r="AX50" i="17"/>
  <c r="AR16" i="17" a="1"/>
  <c r="I45" i="19"/>
  <c r="BC7" i="17"/>
  <c r="BO11" i="17"/>
  <c r="BE41" i="17"/>
  <c r="BJ46" i="17"/>
  <c r="F16" i="17"/>
  <c r="BG47" i="17"/>
  <c r="BK26" i="17"/>
  <c r="Q32" i="17"/>
  <c r="AA25" i="17"/>
  <c r="I10" i="19"/>
  <c r="BY7" i="17"/>
  <c r="BV30" i="17"/>
  <c r="BO25" i="17"/>
  <c r="K29" i="17"/>
  <c r="BH14" i="17"/>
  <c r="BE12" i="17"/>
  <c r="BN29" i="17"/>
  <c r="BI34" i="17"/>
  <c r="BM47" i="17"/>
  <c r="BA43" i="17"/>
  <c r="AL16" i="17" a="1"/>
  <c r="K25" i="17"/>
  <c r="BM28" i="17"/>
  <c r="G13" i="17"/>
  <c r="BT16" i="17"/>
  <c r="K30" i="17"/>
  <c r="K31" i="19" a="1"/>
  <c r="J19" i="17"/>
  <c r="BZ18" i="17"/>
  <c r="BH8" i="17"/>
  <c r="Q18" i="17"/>
  <c r="BM36" i="17"/>
  <c r="BE38" i="17"/>
  <c r="BV49" i="17"/>
  <c r="AN16" i="17" a="1"/>
  <c r="M4" i="17"/>
  <c r="BR32" i="17"/>
  <c r="BO19" i="17"/>
  <c r="AY14" i="17"/>
  <c r="AX39" i="17"/>
  <c r="BR21" i="17"/>
  <c r="I32" i="17"/>
  <c r="BK13" i="17"/>
  <c r="BS40" i="17"/>
  <c r="BK51" i="17"/>
  <c r="BN8" i="17"/>
  <c r="BO38" i="17"/>
  <c r="BR10" i="17"/>
  <c r="BY15" i="17"/>
  <c r="BD41" i="17"/>
  <c r="BO26" i="17"/>
  <c r="AA21" i="17"/>
  <c r="I19" i="19"/>
  <c r="K17" i="17"/>
  <c r="BZ26" i="17"/>
  <c r="BB16" i="17"/>
  <c r="BB28" i="17"/>
  <c r="BR22" i="17"/>
  <c r="BU29" i="17"/>
  <c r="H12" i="17"/>
  <c r="I26" i="19"/>
  <c r="AX38" i="17"/>
  <c r="G20" i="17"/>
  <c r="BZ33" i="17"/>
  <c r="G31" i="17"/>
  <c r="BN49" i="17"/>
  <c r="H31" i="17"/>
  <c r="AZ8" i="17"/>
  <c r="BG40" i="17"/>
  <c r="BF26" i="17"/>
  <c r="BW21" i="17"/>
  <c r="BD30" i="17"/>
  <c r="BM39" i="17"/>
  <c r="BC36" i="17"/>
  <c r="BA18" i="17"/>
  <c r="BT43" i="17"/>
  <c r="AA11" i="17"/>
  <c r="BJ8" i="17"/>
  <c r="BF40" i="17"/>
  <c r="J20" i="17"/>
  <c r="J8" i="19"/>
  <c r="BL22" i="17"/>
  <c r="I31" i="17"/>
  <c r="BW49" i="17"/>
  <c r="G5" i="17"/>
  <c r="K10" i="17"/>
  <c r="BK24" i="17"/>
  <c r="J21" i="19"/>
  <c r="BR27" i="17"/>
  <c r="BK42" i="17"/>
  <c r="BP23" i="17"/>
  <c r="BQ38" i="17"/>
  <c r="AP21" i="17" a="1"/>
  <c r="AX36" i="17"/>
  <c r="K8" i="19" a="1"/>
  <c r="BI29" i="17"/>
  <c r="BL27" i="17"/>
  <c r="BR51" i="17"/>
  <c r="BC46" i="17"/>
  <c r="BA42" i="17"/>
  <c r="AP7" i="17" a="1"/>
  <c r="BY30" i="17"/>
  <c r="BQ23" i="17"/>
  <c r="BT39" i="17"/>
  <c r="K36" i="19" a="1"/>
  <c r="BR48" i="17"/>
  <c r="AA10" i="17"/>
  <c r="BH29" i="17"/>
  <c r="AZ14" i="17"/>
  <c r="BQ32" i="17"/>
  <c r="BG46" i="17"/>
  <c r="AO14" i="17" a="1"/>
  <c r="H19" i="17"/>
  <c r="BZ27" i="17"/>
  <c r="AS21" i="17" a="1"/>
  <c r="BY22" i="17"/>
  <c r="BI40" i="17"/>
  <c r="BI32" i="17"/>
  <c r="BB49" i="17"/>
  <c r="BA34" i="17"/>
  <c r="AZ34" i="17"/>
  <c r="AX26" i="17"/>
  <c r="AY42" i="17"/>
  <c r="BB30" i="17"/>
  <c r="BM45" i="17"/>
  <c r="BG32" i="17"/>
  <c r="BA47" i="17"/>
  <c r="BW30" i="17"/>
  <c r="BX35" i="17"/>
  <c r="I31" i="19"/>
  <c r="BS47" i="17"/>
  <c r="BV23" i="17"/>
  <c r="BB10" i="17"/>
  <c r="K17" i="19" a="1"/>
  <c r="AZ28" i="17"/>
  <c r="BI44" i="17"/>
  <c r="BL24" i="17"/>
  <c r="AX28" i="17"/>
  <c r="BO12" i="17"/>
  <c r="BT48" i="17"/>
  <c r="BF38" i="17"/>
  <c r="H29" i="17"/>
  <c r="I24" i="19"/>
  <c r="AZ27" i="17"/>
  <c r="BU19" i="17"/>
  <c r="BA28" i="17"/>
  <c r="Q16" i="17"/>
  <c r="BZ10" i="17"/>
  <c r="BT17" i="17"/>
  <c r="BT37" i="17"/>
  <c r="BY14" i="17"/>
  <c r="BA31" i="17"/>
  <c r="BN10" i="17"/>
  <c r="BT35" i="17"/>
  <c r="BY49" i="17"/>
  <c r="G21" i="17"/>
  <c r="BB51" i="17"/>
  <c r="L12" i="17"/>
  <c r="BB11" i="17"/>
  <c r="BZ7" i="17"/>
  <c r="BE15" i="17"/>
  <c r="BA13" i="17"/>
  <c r="BS51" i="17"/>
  <c r="BZ30" i="17"/>
  <c r="AX17" i="17"/>
  <c r="BR17" i="17"/>
  <c r="BF17" i="17"/>
  <c r="BV36" i="17"/>
  <c r="BS50" i="17"/>
  <c r="BQ49" i="17"/>
  <c r="BI27" i="17"/>
  <c r="F27" i="17"/>
  <c r="BY27" i="17"/>
  <c r="BD51" i="17"/>
  <c r="BO13" i="17"/>
  <c r="BL38" i="17"/>
  <c r="BX34" i="17"/>
  <c r="BM10" i="17"/>
  <c r="H11" i="17"/>
  <c r="BW25" i="17"/>
  <c r="BB15" i="17"/>
  <c r="AX7" i="17"/>
  <c r="I20" i="17"/>
  <c r="J24" i="17"/>
  <c r="I21" i="19"/>
  <c r="J4" i="17"/>
  <c r="BN13" i="17"/>
  <c r="L23" i="17"/>
  <c r="AE4" i="17"/>
  <c r="AZ45" i="17"/>
  <c r="BC29" i="17"/>
  <c r="BV44" i="17"/>
  <c r="G6" i="17"/>
  <c r="BL33" i="17"/>
  <c r="BO7" i="17"/>
  <c r="BR31" i="17"/>
  <c r="K32" i="19" a="1"/>
  <c r="BW34" i="17"/>
  <c r="BP33" i="17"/>
  <c r="BQ46" i="17"/>
  <c r="J30" i="19"/>
  <c r="BQ33" i="17"/>
  <c r="AC4" i="17"/>
  <c r="I25" i="19"/>
  <c r="BK16" i="17"/>
  <c r="BV13" i="17"/>
  <c r="BV31" i="17"/>
  <c r="I13" i="19"/>
  <c r="BQ31" i="17"/>
  <c r="BU46" i="17"/>
  <c r="BX43" i="17"/>
  <c r="L19" i="17"/>
  <c r="H22" i="17"/>
  <c r="BK20" i="17"/>
  <c r="I26" i="17"/>
  <c r="BD16" i="17"/>
  <c r="BF30" i="17"/>
  <c r="J25" i="17"/>
  <c r="BR43" i="17"/>
  <c r="I37" i="19"/>
  <c r="BF36" i="17"/>
  <c r="BW12" i="17"/>
  <c r="BU27" i="17"/>
  <c r="BS9" i="17"/>
  <c r="AQ26" i="17" a="1"/>
  <c r="J36" i="19"/>
  <c r="BW23" i="17"/>
  <c r="BB12" i="17"/>
  <c r="BH49" i="17"/>
  <c r="H14" i="17"/>
  <c r="BN43" i="17"/>
  <c r="H4" i="17"/>
  <c r="BS38" i="17"/>
  <c r="H7" i="17"/>
  <c r="BB32" i="17"/>
  <c r="BJ13" i="17"/>
  <c r="BF19" i="17"/>
  <c r="I9" i="17"/>
  <c r="AY47" i="17"/>
  <c r="BS29" i="17"/>
  <c r="AZ20" i="17"/>
  <c r="BA41" i="17"/>
  <c r="BP10" i="17"/>
  <c r="BQ43" i="17"/>
  <c r="J47" i="19"/>
  <c r="BP28" i="17"/>
  <c r="BZ14" i="17"/>
  <c r="L17" i="17"/>
  <c r="BS26" i="17"/>
  <c r="BN39" i="17"/>
  <c r="BB25" i="17"/>
  <c r="BL12" i="17"/>
  <c r="I40" i="19"/>
  <c r="BT44" i="17"/>
  <c r="BG17" i="17"/>
  <c r="BH9" i="17"/>
  <c r="BP26" i="17"/>
  <c r="AL26" i="17" a="1"/>
  <c r="BD32" i="17"/>
  <c r="AK16" i="17" a="1"/>
  <c r="I30" i="19"/>
  <c r="AY39" i="17"/>
  <c r="J18" i="19"/>
  <c r="BL44" i="17"/>
  <c r="BE29" i="17"/>
  <c r="AA27" i="17"/>
  <c r="AS16" i="17" a="1"/>
  <c r="BG39" i="17"/>
  <c r="BN7" i="17"/>
  <c r="K22" i="17"/>
  <c r="K27" i="17"/>
  <c r="BT47" i="17"/>
  <c r="AT21" i="17" a="1"/>
  <c r="BD37" i="17"/>
  <c r="BK7" i="17"/>
  <c r="F11" i="17"/>
  <c r="K11" i="19" a="1"/>
  <c r="G14" i="17"/>
  <c r="AL7" i="17" a="1"/>
  <c r="AZ47" i="17"/>
  <c r="I44" i="19"/>
  <c r="BS22" i="17"/>
  <c r="AZ18" i="17"/>
  <c r="AZ13" i="17"/>
  <c r="BB22" i="17"/>
  <c r="BJ44" i="17"/>
  <c r="BO10" i="17"/>
  <c r="AY17" i="17"/>
  <c r="BP34" i="17"/>
  <c r="BS21" i="17"/>
  <c r="BD10" i="17"/>
  <c r="Q24" i="17"/>
  <c r="BD14" i="17"/>
  <c r="BQ30" i="17"/>
  <c r="BB17" i="17"/>
  <c r="BF13" i="17"/>
  <c r="BG16" i="17"/>
  <c r="BI51" i="17"/>
  <c r="BH39" i="17"/>
  <c r="Q8" i="17"/>
  <c r="J9" i="19"/>
  <c r="BE39" i="17"/>
  <c r="AZ46" i="17"/>
  <c r="BJ39" i="17"/>
  <c r="BM41" i="17"/>
  <c r="BQ29" i="17"/>
  <c r="BE32" i="17"/>
  <c r="BO27" i="17"/>
  <c r="BI35" i="17"/>
  <c r="K20" i="17"/>
  <c r="BP50" i="17"/>
  <c r="BW14" i="17"/>
  <c r="AZ11" i="17"/>
  <c r="K9" i="19" a="1"/>
  <c r="G16" i="17"/>
  <c r="BW24" i="17"/>
  <c r="BO41" i="17"/>
  <c r="BY42" i="17"/>
  <c r="J17" i="17"/>
  <c r="L11" i="17"/>
  <c r="BH10" i="17"/>
  <c r="G19" i="17"/>
  <c r="BV50" i="17"/>
  <c r="BX40" i="17"/>
  <c r="BI13" i="17"/>
  <c r="G29" i="17"/>
  <c r="I19" i="17"/>
  <c r="BB20" i="17"/>
  <c r="BK29" i="17"/>
  <c r="F17" i="17"/>
  <c r="BP31" i="17"/>
  <c r="BJ28" i="17"/>
  <c r="BJ48" i="17"/>
  <c r="J34" i="19"/>
  <c r="BD8" i="17"/>
  <c r="BO17" i="17"/>
  <c r="BD20" i="17"/>
  <c r="BR50" i="17"/>
  <c r="BL51" i="17"/>
  <c r="BW32" i="17"/>
  <c r="AA9" i="17"/>
  <c r="I32" i="19"/>
  <c r="BY40" i="17"/>
  <c r="J21" i="17"/>
  <c r="BJ43" i="17"/>
  <c r="BS14" i="17"/>
  <c r="BH30" i="17"/>
  <c r="BO20" i="17"/>
  <c r="K4" i="17"/>
  <c r="BH24" i="17"/>
  <c r="BR11" i="17"/>
  <c r="BC15" i="17"/>
  <c r="BC9" i="17"/>
  <c r="BV24" i="17"/>
  <c r="BX42" i="17"/>
  <c r="BZ35" i="17"/>
  <c r="BT13" i="17"/>
  <c r="BX14" i="17"/>
  <c r="BE37" i="17"/>
  <c r="BX49" i="17"/>
  <c r="K26" i="17"/>
  <c r="AG4" i="17"/>
  <c r="J29" i="17"/>
  <c r="BU25" i="17"/>
  <c r="BJ17" i="17"/>
  <c r="BQ11" i="17"/>
  <c r="I27" i="19"/>
  <c r="BR34" i="17"/>
  <c r="K16" i="19" a="1"/>
  <c r="AR21" i="17" a="1"/>
  <c r="AA18" i="17"/>
  <c r="BJ27" i="17"/>
  <c r="BW35" i="17"/>
  <c r="BB36" i="17"/>
  <c r="BL17" i="17"/>
  <c r="BC31" i="17"/>
  <c r="H16" i="17"/>
  <c r="AX41" i="17"/>
  <c r="Q30" i="17"/>
  <c r="BI30" i="17"/>
  <c r="G22" i="17"/>
  <c r="AY15" i="17"/>
  <c r="BP12" i="17"/>
  <c r="K26" i="19" a="1"/>
  <c r="AX35" i="17"/>
  <c r="BF24" i="17"/>
  <c r="BM13" i="17"/>
  <c r="BM19" i="17"/>
  <c r="AP26" i="17" a="1"/>
  <c r="BN9" i="17"/>
  <c r="G11" i="17"/>
  <c r="F26" i="17"/>
  <c r="BN16" i="17"/>
  <c r="BC13" i="17"/>
  <c r="BI9" i="17"/>
  <c r="BA50" i="17"/>
  <c r="BY32" i="17"/>
  <c r="BN12" i="17"/>
  <c r="BS42" i="17"/>
  <c r="BB43" i="17"/>
  <c r="BS16" i="17"/>
  <c r="BV41" i="17"/>
  <c r="BK28" i="17"/>
  <c r="BC12" i="17"/>
  <c r="BT42" i="17"/>
  <c r="AY36" i="17"/>
  <c r="I23" i="19"/>
  <c r="K22" i="19" a="1"/>
  <c r="AA26" i="17"/>
  <c r="BU49" i="17"/>
  <c r="Q17" i="17"/>
  <c r="BU39" i="17"/>
  <c r="BG13" i="17"/>
  <c r="AX51" i="17"/>
  <c r="Q14" i="17"/>
  <c r="AN26" i="17" a="1"/>
  <c r="BN51" i="17"/>
  <c r="BD7" i="17"/>
  <c r="BK50" i="17"/>
  <c r="BS34" i="17"/>
  <c r="BO43" i="17"/>
  <c r="AY38" i="17"/>
  <c r="BN20" i="17"/>
  <c r="BB14" i="17"/>
  <c r="AF4" i="17"/>
  <c r="AZ51" i="17"/>
  <c r="BG44" i="17"/>
  <c r="BA46" i="17"/>
  <c r="L10" i="17"/>
  <c r="K10" i="19" a="1"/>
  <c r="BU30" i="17"/>
  <c r="F7" i="17"/>
  <c r="BE31" i="17"/>
  <c r="K18" i="19" a="1"/>
  <c r="G12" i="17"/>
  <c r="BQ47" i="17"/>
  <c r="K42" i="19" a="1"/>
  <c r="BE46" i="17"/>
  <c r="L14" i="17"/>
  <c r="BD50" i="17"/>
  <c r="J28" i="19"/>
  <c r="BE49" i="17"/>
  <c r="BA27" i="17"/>
  <c r="BN23" i="17"/>
  <c r="BA19" i="17"/>
  <c r="BT50" i="17"/>
  <c r="G7" i="17"/>
  <c r="BR7" i="17"/>
  <c r="BR35" i="17"/>
  <c r="H9" i="17"/>
  <c r="AN14" i="17" a="1"/>
  <c r="I28" i="17"/>
  <c r="K8" i="17"/>
  <c r="BR20" i="17"/>
  <c r="BA39" i="17"/>
  <c r="BX32" i="17"/>
  <c r="BP14" i="17"/>
  <c r="BJ34" i="17"/>
  <c r="BT32" i="17"/>
  <c r="BN26" i="17"/>
  <c r="BU15" i="17"/>
  <c r="K29" i="19" a="1"/>
  <c r="L30" i="17"/>
  <c r="AZ39" i="17"/>
  <c r="G15" i="17"/>
  <c r="BK18" i="17"/>
  <c r="BR46" i="17"/>
  <c r="BJ20" i="17"/>
  <c r="BT31" i="17"/>
  <c r="BX9" i="17"/>
  <c r="BK48" i="17"/>
  <c r="J11" i="19"/>
  <c r="BN38" i="17"/>
  <c r="BM14" i="17"/>
  <c r="H30" i="17"/>
  <c r="BO24" i="17"/>
  <c r="BH35" i="17"/>
  <c r="BQ20" i="17"/>
  <c r="AR26" i="17" a="1"/>
  <c r="BF9" i="17"/>
  <c r="J15" i="17"/>
  <c r="BU43" i="17"/>
  <c r="BD47" i="17"/>
  <c r="AA29" i="17"/>
  <c r="BU47" i="17"/>
  <c r="BI48" i="17"/>
  <c r="AX32" i="17"/>
  <c r="BR36" i="17"/>
  <c r="BC32" i="17"/>
  <c r="BG19" i="17"/>
  <c r="H32" i="17"/>
  <c r="BD13" i="17"/>
  <c r="J41" i="19"/>
  <c r="BH23" i="17"/>
  <c r="BD18" i="17"/>
  <c r="BC42" i="17"/>
  <c r="AA19" i="17"/>
  <c r="BC16" i="17"/>
  <c r="BJ12" i="17"/>
  <c r="BL40" i="17"/>
  <c r="BO8" i="17"/>
  <c r="BB35" i="17"/>
  <c r="K41" i="19" a="1"/>
  <c r="BH33" i="17"/>
  <c r="BE19" i="17"/>
  <c r="BR23" i="17"/>
  <c r="G26" i="17"/>
  <c r="BH15" i="17"/>
  <c r="BZ28" i="17"/>
  <c r="I23" i="17"/>
  <c r="AY27" i="17"/>
  <c r="BU42" i="17"/>
  <c r="AX42" i="17"/>
  <c r="BX25" i="17"/>
  <c r="BR19" i="17"/>
  <c r="BY20" i="17"/>
  <c r="BL10" i="17"/>
  <c r="BZ40" i="17"/>
  <c r="AY32" i="17"/>
  <c r="AA6" i="17"/>
  <c r="J10" i="17"/>
  <c r="AX45" i="17"/>
  <c r="AY33" i="17"/>
  <c r="BX30" i="17"/>
  <c r="I20" i="19"/>
  <c r="BL26" i="17"/>
  <c r="BE44" i="17"/>
  <c r="BR12" i="17"/>
  <c r="BI33" i="17"/>
  <c r="F9" i="17"/>
  <c r="J39" i="19"/>
  <c r="BT36" i="17"/>
  <c r="Q6" i="17"/>
  <c r="F30" i="17"/>
  <c r="AT26" i="17" a="1"/>
  <c r="BZ11" i="17"/>
  <c r="BN14" i="17"/>
  <c r="BH32" i="17"/>
  <c r="BQ51" i="17"/>
  <c r="BD33" i="17"/>
  <c r="BM12" i="17"/>
  <c r="BS11" i="17"/>
  <c r="K21" i="17"/>
  <c r="I12" i="17"/>
  <c r="BC44" i="17"/>
  <c r="BP11" i="17"/>
  <c r="AO26" i="17" a="1"/>
  <c r="F28" i="17"/>
  <c r="BQ18" i="17"/>
  <c r="BU17" i="17"/>
  <c r="BU37" i="17"/>
  <c r="BT30" i="17"/>
  <c r="G28" i="17"/>
  <c r="BE23" i="17"/>
  <c r="AL21" i="17" a="1"/>
  <c r="BO45" i="17"/>
  <c r="BQ44" i="17"/>
  <c r="BU51" i="17"/>
  <c r="AZ35" i="17"/>
  <c r="BQ39" i="17"/>
  <c r="BD49" i="17"/>
  <c r="BF49" i="17"/>
  <c r="BZ51" i="17"/>
  <c r="BH7" i="17"/>
  <c r="AY37" i="17"/>
  <c r="BJ40" i="17"/>
  <c r="BL34" i="17"/>
  <c r="BW26" i="17"/>
  <c r="BG9" i="17"/>
  <c r="J46" i="19"/>
  <c r="J35" i="19"/>
  <c r="BZ38" i="17"/>
  <c r="BB42" i="17"/>
  <c r="BA16" i="17"/>
  <c r="BT23" i="17"/>
  <c r="BG29" i="17"/>
  <c r="J31" i="17"/>
  <c r="BS27" i="17"/>
  <c r="BF16" i="17"/>
  <c r="BE43" i="17"/>
  <c r="BW33" i="17"/>
  <c r="I16" i="19"/>
  <c r="AX48" i="17"/>
  <c r="BE28" i="17"/>
  <c r="K30" i="19" l="1"/>
  <c r="K15" i="19"/>
  <c r="K32" i="19"/>
  <c r="K43" i="19"/>
  <c r="K37" i="19"/>
  <c r="K46" i="19"/>
  <c r="D31" i="19"/>
  <c r="K44" i="19"/>
  <c r="K28" i="19"/>
  <c r="K10" i="19"/>
  <c r="D13" i="19"/>
  <c r="AQ14" i="17"/>
  <c r="K11" i="19"/>
  <c r="AR14" i="17"/>
  <c r="K47" i="19"/>
  <c r="D11" i="19"/>
  <c r="AL14" i="17"/>
  <c r="AR7" i="17"/>
  <c r="D30" i="19"/>
  <c r="D19" i="19"/>
  <c r="D25" i="19"/>
  <c r="K31" i="19"/>
  <c r="D36" i="19"/>
  <c r="AN14" i="17"/>
  <c r="K45" i="19"/>
  <c r="D28" i="19"/>
  <c r="K20" i="19"/>
  <c r="D34" i="19"/>
  <c r="K25" i="19"/>
  <c r="D39" i="19"/>
  <c r="K24" i="19"/>
  <c r="AO7" i="17"/>
  <c r="D38" i="19"/>
  <c r="K48" i="19"/>
  <c r="K16" i="19"/>
  <c r="D23" i="19"/>
  <c r="K42" i="19"/>
  <c r="K7" i="19"/>
  <c r="D8" i="19"/>
  <c r="D10" i="19"/>
  <c r="K9" i="19"/>
  <c r="AQ7" i="17"/>
  <c r="K39" i="19"/>
  <c r="K26" i="19"/>
  <c r="D42" i="19"/>
  <c r="D24" i="19"/>
  <c r="AM7" i="17"/>
  <c r="AM14" i="17"/>
  <c r="K34" i="19"/>
  <c r="K21" i="19"/>
  <c r="K38" i="19"/>
  <c r="K27" i="19"/>
  <c r="D14" i="19"/>
  <c r="AT7" i="17"/>
  <c r="K29" i="19"/>
  <c r="D27" i="19"/>
  <c r="K22" i="19"/>
  <c r="AL7" i="17"/>
  <c r="D7" i="19"/>
  <c r="K17" i="19"/>
  <c r="K36" i="19"/>
  <c r="D26" i="19"/>
  <c r="K19" i="19"/>
  <c r="K41" i="19"/>
  <c r="D33" i="19"/>
  <c r="K13" i="19"/>
  <c r="K33" i="19"/>
  <c r="D29" i="19"/>
  <c r="AK7" i="17"/>
  <c r="AN7" i="17"/>
  <c r="AS7" i="17"/>
  <c r="D35" i="19"/>
  <c r="D17" i="19"/>
  <c r="AP14" i="17"/>
  <c r="D18" i="19"/>
  <c r="D41" i="19"/>
  <c r="AT14" i="17"/>
  <c r="D16" i="19"/>
  <c r="AK14" i="17"/>
  <c r="D20" i="19"/>
  <c r="K23" i="19"/>
  <c r="AP7" i="17"/>
  <c r="AS14" i="17"/>
  <c r="K40" i="19"/>
  <c r="D21" i="19"/>
  <c r="AO14" i="17"/>
  <c r="D9" i="19"/>
  <c r="D12" i="19"/>
  <c r="D15" i="19"/>
  <c r="D22" i="19"/>
  <c r="D40" i="19"/>
  <c r="D32" i="19"/>
  <c r="D37" i="19"/>
  <c r="K35" i="19"/>
  <c r="K14" i="19"/>
  <c r="K18" i="19"/>
  <c r="K8" i="19"/>
  <c r="K12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AS26" i="17"/>
  <c r="AL16" i="17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T19" i="17"/>
  <c r="AO133" i="17" a="1"/>
  <c r="AN31" i="17" a="1"/>
  <c r="AK184" i="17" a="1"/>
  <c r="AO106" i="17" a="1"/>
  <c r="AP128" i="17" a="1"/>
  <c r="AQ66" i="17" a="1"/>
  <c r="AM140" i="17" a="1"/>
  <c r="AS175" i="17" a="1"/>
  <c r="AT108" i="17" a="1"/>
  <c r="AS191" i="17" a="1"/>
  <c r="AR66" i="17" a="1"/>
  <c r="AN122" i="17" a="1"/>
  <c r="AL17" i="17" a="1"/>
  <c r="AK130" i="17" a="1"/>
  <c r="AN117" i="17" a="1"/>
  <c r="AE5" i="17"/>
  <c r="Y20" i="17"/>
  <c r="AS171" i="17" a="1"/>
  <c r="AQ101" i="17" a="1"/>
  <c r="AL178" i="17" a="1"/>
  <c r="AP193" i="17" a="1"/>
  <c r="AR40" i="17" a="1"/>
  <c r="AT72" i="17" a="1"/>
  <c r="AT64" i="17" a="1"/>
  <c r="AM121" i="17" a="1"/>
  <c r="AL11" i="17" a="1"/>
  <c r="U14" i="17"/>
  <c r="AM98" i="17" a="1"/>
  <c r="AK29" i="17" a="1"/>
  <c r="AO87" i="17" a="1"/>
  <c r="AK98" i="17" a="1"/>
  <c r="AP17" i="17" a="1"/>
  <c r="W17" i="17"/>
  <c r="AK79" i="17" a="1"/>
  <c r="AK155" i="17" a="1"/>
  <c r="AE21" i="17"/>
  <c r="L23" i="19" a="1"/>
  <c r="AM40" i="17" a="1"/>
  <c r="Y24" i="17"/>
  <c r="AM8" i="17" a="1"/>
  <c r="AO168" i="17" a="1"/>
  <c r="AR68" i="17" a="1"/>
  <c r="AN59" i="17" a="1"/>
  <c r="AN159" i="17" a="1"/>
  <c r="AP149" i="17" a="1"/>
  <c r="AN85" i="17" a="1"/>
  <c r="AP156" i="17" a="1"/>
  <c r="AN68" i="17" a="1"/>
  <c r="AP11" i="17" a="1"/>
  <c r="AK150" i="17" a="1"/>
  <c r="AS61" i="17" a="1"/>
  <c r="Z17" i="17"/>
  <c r="W18" i="17"/>
  <c r="AN51" i="17" a="1"/>
  <c r="AO152" i="17" a="1"/>
  <c r="AT117" i="17" a="1"/>
  <c r="AP88" i="17" a="1"/>
  <c r="AO91" i="17" a="1"/>
  <c r="AM176" i="17" a="1"/>
  <c r="AS96" i="17" a="1"/>
  <c r="AM151" i="17" a="1"/>
  <c r="AM157" i="17" a="1"/>
  <c r="Y16" i="17"/>
  <c r="AS168" i="17" a="1"/>
  <c r="T21" i="17"/>
  <c r="AA4" i="17"/>
  <c r="AQ116" i="17" a="1"/>
  <c r="AL10" i="17" a="1"/>
  <c r="AR61" i="17" a="1"/>
  <c r="AN194" i="17" a="1"/>
  <c r="AP86" i="17" a="1"/>
  <c r="AM77" i="17" a="1"/>
  <c r="AO126" i="17" a="1"/>
  <c r="AM33" i="17" a="1"/>
  <c r="AM42" i="17" a="1"/>
  <c r="AE12" i="17"/>
  <c r="AS24" i="17" a="1"/>
  <c r="AO15" i="17" a="1"/>
  <c r="AL116" i="17" a="1"/>
  <c r="AL53" i="17" a="1"/>
  <c r="AL119" i="17" a="1"/>
  <c r="AP103" i="17" a="1"/>
  <c r="AK9" i="17" a="1"/>
  <c r="AL155" i="17" a="1"/>
  <c r="AM12" i="17" a="1"/>
  <c r="AO65" i="17" a="1"/>
  <c r="AK82" i="17" a="1"/>
  <c r="AK84" i="17" a="1"/>
  <c r="AK126" i="17" a="1"/>
  <c r="Y5" i="17"/>
  <c r="AT184" i="17" a="1"/>
  <c r="AO35" i="17" a="1"/>
  <c r="AP119" i="17" a="1"/>
  <c r="AK140" i="17" a="1"/>
  <c r="V25" i="17"/>
  <c r="AS36" i="17" a="1"/>
  <c r="AE22" i="17"/>
  <c r="AL169" i="17" a="1"/>
  <c r="AN172" i="17" a="1"/>
  <c r="AE29" i="17"/>
  <c r="AR8" i="17" a="1"/>
  <c r="AO143" i="17" a="1"/>
  <c r="AT30" i="17" a="1"/>
  <c r="AO44" i="17" a="1"/>
  <c r="AM182" i="17" a="1"/>
  <c r="Y21" i="17"/>
  <c r="AO120" i="17" a="1"/>
  <c r="AP124" i="17" a="1"/>
  <c r="AR147" i="17" a="1"/>
  <c r="AQ99" i="17" a="1"/>
  <c r="AT134" i="17" a="1"/>
  <c r="AR35" i="17" a="1"/>
  <c r="AP191" i="17" a="1"/>
  <c r="AT32" i="17" a="1"/>
  <c r="AL88" i="17" a="1"/>
  <c r="AK30" i="17" a="1"/>
  <c r="AQ194" i="17" a="1"/>
  <c r="AL148" i="17" a="1"/>
  <c r="AB18" i="17"/>
  <c r="V7" i="17"/>
  <c r="AS42" i="17" a="1"/>
  <c r="AL151" i="17" a="1"/>
  <c r="AO137" i="17" a="1"/>
  <c r="AO156" i="17" a="1"/>
  <c r="AR113" i="17" a="1"/>
  <c r="AO95" i="17" a="1"/>
  <c r="AP9" i="17" a="1"/>
  <c r="AL190" i="17" a="1"/>
  <c r="X5" i="17"/>
  <c r="AP161" i="17" a="1"/>
  <c r="AL149" i="17" a="1"/>
  <c r="AB28" i="17"/>
  <c r="U22" i="17"/>
  <c r="AN53" i="17" a="1"/>
  <c r="AT59" i="17" a="1"/>
  <c r="V27" i="17"/>
  <c r="AB21" i="17"/>
  <c r="AQ186" i="17" a="1"/>
  <c r="AN50" i="17" a="1"/>
  <c r="AL98" i="17" a="1"/>
  <c r="AR10" i="17" a="1"/>
  <c r="AR54" i="17" a="1"/>
  <c r="W9" i="17"/>
  <c r="AQ189" i="17" a="1"/>
  <c r="AT79" i="17" a="1"/>
  <c r="AS166" i="17" a="1"/>
  <c r="AQ169" i="17" a="1"/>
  <c r="AO147" i="17" a="1"/>
  <c r="AO194" i="17" a="1"/>
  <c r="AQ47" i="17" a="1"/>
  <c r="AE8" i="17"/>
  <c r="AQ156" i="17" a="1"/>
  <c r="AL150" i="17" a="1"/>
  <c r="AL175" i="17" a="1"/>
  <c r="AO19" i="17" a="1"/>
  <c r="AK28" i="17" a="1"/>
  <c r="Y28" i="17"/>
  <c r="Z12" i="17"/>
  <c r="AP24" i="17" a="1"/>
  <c r="T16" i="17"/>
  <c r="L15" i="19" a="1"/>
  <c r="AP43" i="17" a="1"/>
  <c r="AO127" i="17" a="1"/>
  <c r="AP107" i="17" a="1"/>
  <c r="AR9" i="17" a="1"/>
  <c r="AL86" i="17" a="1"/>
  <c r="AM178" i="17" a="1"/>
  <c r="AR45" i="17" a="1"/>
  <c r="AN58" i="17" a="1"/>
  <c r="AT147" i="17" a="1"/>
  <c r="AO56" i="17" a="1"/>
  <c r="AM106" i="17" a="1"/>
  <c r="AL128" i="17" a="1"/>
  <c r="AT102" i="17" a="1"/>
  <c r="AN113" i="17" a="1"/>
  <c r="AP87" i="17" a="1"/>
  <c r="W31" i="17"/>
  <c r="AE31" i="17"/>
  <c r="AL185" i="17" a="1"/>
  <c r="AR123" i="17" a="1"/>
  <c r="AM170" i="17" a="1"/>
  <c r="AT98" i="17" a="1"/>
  <c r="T30" i="17"/>
  <c r="AQ85" i="17" a="1"/>
  <c r="AL194" i="17" a="1"/>
  <c r="AQ172" i="17" a="1"/>
  <c r="AN11" i="17" a="1"/>
  <c r="AM180" i="17" a="1"/>
  <c r="AT106" i="17" a="1"/>
  <c r="AK17" i="17" a="1"/>
  <c r="AN54" i="17" a="1"/>
  <c r="AQ155" i="17" a="1"/>
  <c r="AN65" i="17" a="1"/>
  <c r="AR143" i="17" a="1"/>
  <c r="AT192" i="17" a="1"/>
  <c r="T29" i="17"/>
  <c r="AL182" i="17" a="1"/>
  <c r="AQ37" i="17" a="1"/>
  <c r="AP67" i="17" a="1"/>
  <c r="AQ11" i="17" a="1"/>
  <c r="AK50" i="17" a="1"/>
  <c r="AL189" i="17" a="1"/>
  <c r="AT168" i="17" a="1"/>
  <c r="AN129" i="17" a="1"/>
  <c r="V22" i="17"/>
  <c r="AS85" i="17" a="1"/>
  <c r="AM185" i="17" a="1"/>
  <c r="AK168" i="17" a="1"/>
  <c r="W32" i="17"/>
  <c r="AM25" i="17" a="1"/>
  <c r="AM95" i="17" a="1"/>
  <c r="AO30" i="17" a="1"/>
  <c r="AN151" i="17" a="1"/>
  <c r="AT61" i="17" a="1"/>
  <c r="AT127" i="17" a="1"/>
  <c r="AQ10" i="17" a="1"/>
  <c r="AS102" i="17" a="1"/>
  <c r="AP73" i="17" a="1"/>
  <c r="AM164" i="17" a="1"/>
  <c r="AM64" i="17" a="1"/>
  <c r="AK36" i="17" a="1"/>
  <c r="AN186" i="17" a="1"/>
  <c r="AN86" i="17" a="1"/>
  <c r="AQ134" i="17" a="1"/>
  <c r="AB6" i="17"/>
  <c r="AN52" i="17" a="1"/>
  <c r="AL35" i="17" a="1"/>
  <c r="AS43" i="17" a="1"/>
  <c r="Z18" i="17"/>
  <c r="AL8" i="17" a="1"/>
  <c r="AQ164" i="17" a="1"/>
  <c r="AK19" i="17" a="1"/>
  <c r="AE30" i="17"/>
  <c r="AS81" i="17" a="1"/>
  <c r="AT8" i="17" a="1"/>
  <c r="U21" i="17"/>
  <c r="AN156" i="17" a="1"/>
  <c r="AS129" i="17" a="1"/>
  <c r="AM131" i="17" a="1"/>
  <c r="AK46" i="17" a="1"/>
  <c r="T8" i="17"/>
  <c r="AR189" i="17" a="1"/>
  <c r="AT135" i="17" a="1"/>
  <c r="AS182" i="17" a="1"/>
  <c r="AP189" i="17" a="1"/>
  <c r="AK169" i="17" a="1"/>
  <c r="AR152" i="17" a="1"/>
  <c r="AP99" i="17" a="1"/>
  <c r="AM147" i="17" a="1"/>
  <c r="AP56" i="17" a="1"/>
  <c r="AP144" i="17" a="1"/>
  <c r="AS86" i="17" a="1"/>
  <c r="AK49" i="17"/>
  <c r="AS63" i="17" a="1"/>
  <c r="AM126" i="17" a="1"/>
  <c r="AM162" i="17" a="1"/>
  <c r="AK137" i="17" a="1"/>
  <c r="AO117" i="17" a="1"/>
  <c r="AP131" i="17" a="1"/>
  <c r="AR98" i="17" a="1"/>
  <c r="AN63" i="17" a="1"/>
  <c r="Z15" i="17"/>
  <c r="AP77" i="17" a="1"/>
  <c r="AN15" i="17" a="1"/>
  <c r="AO108" i="17" a="1"/>
  <c r="AT52" i="17" a="1"/>
  <c r="AP96" i="17" a="1"/>
  <c r="AR38" i="17" a="1"/>
  <c r="AK177" i="17" a="1"/>
  <c r="AM109" i="17" a="1"/>
  <c r="AR86" i="17" a="1"/>
  <c r="W21" i="17"/>
  <c r="AL79" i="17" a="1"/>
  <c r="AS187" i="17" a="1"/>
  <c r="AT73" i="17" a="1"/>
  <c r="AN30" i="17" a="1"/>
  <c r="AS40" i="17" a="1"/>
  <c r="AK23" i="17" a="1"/>
  <c r="AN185" i="17" a="1"/>
  <c r="AO31" i="17" a="1"/>
  <c r="AS172" i="17" a="1"/>
  <c r="AR137" i="17" a="1"/>
  <c r="AP64" i="17" a="1"/>
  <c r="AL187" i="17" a="1"/>
  <c r="AP74" i="17" a="1"/>
  <c r="Y19" i="17"/>
  <c r="AL112" i="17" a="1"/>
  <c r="T22" i="17"/>
  <c r="AB20" i="17"/>
  <c r="AP106" i="17" a="1"/>
  <c r="AQ77" i="17" a="1"/>
  <c r="AE13" i="17"/>
  <c r="AL33" i="17" a="1"/>
  <c r="AK25" i="17" a="1"/>
  <c r="AP113" i="17" a="1"/>
  <c r="AK164" i="17" a="1"/>
  <c r="AN133" i="17" a="1"/>
  <c r="T7" i="17"/>
  <c r="W29" i="17"/>
  <c r="AR25" i="17" a="1"/>
  <c r="AE16" i="17"/>
  <c r="AQ71" i="17" a="1"/>
  <c r="AP98" i="17" a="1"/>
  <c r="AE32" i="17"/>
  <c r="AQ100" i="17" a="1"/>
  <c r="AR87" i="17" a="1"/>
  <c r="Y14" i="17"/>
  <c r="AO57" i="17" a="1"/>
  <c r="AN25" i="17" a="1"/>
  <c r="AR162" i="17" a="1"/>
  <c r="AR155" i="17" a="1"/>
  <c r="AP168" i="17" a="1"/>
  <c r="AT54" i="17" a="1"/>
  <c r="T23" i="17"/>
  <c r="AT31" i="17" a="1"/>
  <c r="AN33" i="17" a="1"/>
  <c r="AR102" i="17" a="1"/>
  <c r="AT171" i="17" a="1"/>
  <c r="AO75" i="17" a="1"/>
  <c r="AR32" i="17" a="1"/>
  <c r="AR30" i="17" a="1"/>
  <c r="Z29" i="17"/>
  <c r="V12" i="17"/>
  <c r="AL122" i="17" a="1"/>
  <c r="AR114" i="17" a="1"/>
  <c r="AS101" i="17" a="1"/>
  <c r="AT75" i="17" a="1"/>
  <c r="AK107" i="17" a="1"/>
  <c r="U6" i="17"/>
  <c r="AO99" i="17" a="1"/>
  <c r="AB14" i="17"/>
  <c r="AM71" i="17" a="1"/>
  <c r="X15" i="17"/>
  <c r="AK128" i="17" a="1"/>
  <c r="AO23" i="17" a="1"/>
  <c r="AP157" i="17" a="1"/>
  <c r="AT176" i="17" a="1"/>
  <c r="AQ130" i="17" a="1"/>
  <c r="AK121" i="17" a="1"/>
  <c r="AR82" i="17" a="1"/>
  <c r="AK70" i="17" a="1"/>
  <c r="AS130" i="17" a="1"/>
  <c r="AS150" i="17" a="1"/>
  <c r="AQ184" i="17" a="1"/>
  <c r="AN177" i="17" a="1"/>
  <c r="Y4" i="17"/>
  <c r="AN166" i="17" a="1"/>
  <c r="AK109" i="17" a="1"/>
  <c r="Y9" i="17"/>
  <c r="AT60" i="17" a="1"/>
  <c r="AR149" i="17" a="1"/>
  <c r="AR39" i="17" a="1"/>
  <c r="L16" i="19" a="1"/>
  <c r="AL67" i="17" a="1"/>
  <c r="AK56" i="17" a="1"/>
  <c r="U26" i="17"/>
  <c r="AN66" i="17" a="1"/>
  <c r="AS169" i="17" a="1"/>
  <c r="AM58" i="17" a="1"/>
  <c r="X9" i="17"/>
  <c r="AK103" i="17" a="1"/>
  <c r="AL99" i="17" a="1"/>
  <c r="W6" i="17"/>
  <c r="AN136" i="17" a="1"/>
  <c r="AM173" i="17" a="1"/>
  <c r="AT74" i="17" a="1"/>
  <c r="AR142" i="17" a="1"/>
  <c r="AP135" i="17" a="1"/>
  <c r="V18" i="17"/>
  <c r="AL65" i="17" a="1"/>
  <c r="AM93" i="17" a="1"/>
  <c r="W27" i="17"/>
  <c r="AT29" i="17" a="1"/>
  <c r="AM169" i="17" a="1"/>
  <c r="AQ170" i="17" a="1"/>
  <c r="AS58" i="17" a="1"/>
  <c r="AQ129" i="17" a="1"/>
  <c r="AM112" i="17" a="1"/>
  <c r="AN182" i="17" a="1"/>
  <c r="AR185" i="17" a="1"/>
  <c r="AK61" i="17" a="1"/>
  <c r="AL32" i="17" a="1"/>
  <c r="AM101" i="17" a="1"/>
  <c r="AS186" i="17" a="1"/>
  <c r="AT94" i="17" a="1"/>
  <c r="AP150" i="17" a="1"/>
  <c r="AP46" i="17" a="1"/>
  <c r="AM10" i="17" a="1"/>
  <c r="AN72" i="17" a="1"/>
  <c r="AT194" i="17" a="1"/>
  <c r="AK116" i="17" a="1"/>
  <c r="AO191" i="17" a="1"/>
  <c r="AR96" i="17" a="1"/>
  <c r="X7" i="17"/>
  <c r="AR115" i="17" a="1"/>
  <c r="AS38" i="17" a="1"/>
  <c r="AT65" i="17" a="1"/>
  <c r="AN28" i="17" a="1"/>
  <c r="AM59" i="17" a="1"/>
  <c r="AS31" i="17" a="1"/>
  <c r="AB16" i="17"/>
  <c r="AN171" i="17" a="1"/>
  <c r="AL173" i="17" a="1"/>
  <c r="AO172" i="17" a="1"/>
  <c r="AR145" i="17" a="1"/>
  <c r="AS176" i="17" a="1"/>
  <c r="AR60" i="17" a="1"/>
  <c r="L43" i="19" a="1"/>
  <c r="T28" i="17"/>
  <c r="AK53" i="17" a="1"/>
  <c r="AS147" i="17" a="1"/>
  <c r="AM171" i="17" a="1"/>
  <c r="AN126" i="17" a="1"/>
  <c r="AP194" i="17" a="1"/>
  <c r="AL113" i="17" a="1"/>
  <c r="U15" i="17"/>
  <c r="AM117" i="17" a="1"/>
  <c r="AM30" i="17" a="1"/>
  <c r="AT116" i="17" a="1"/>
  <c r="AS32" i="17" a="1"/>
  <c r="AK11" i="17" a="1"/>
  <c r="W13" i="17"/>
  <c r="AL39" i="17" a="1"/>
  <c r="AQ49" i="17" a="1"/>
  <c r="AM192" i="17" a="1"/>
  <c r="AQ187" i="17" a="1"/>
  <c r="AB5" i="17"/>
  <c r="AP63" i="17" a="1"/>
  <c r="AK114" i="17" a="1"/>
  <c r="AL54" i="17" a="1"/>
  <c r="AS45" i="17" a="1"/>
  <c r="AR126" i="17" a="1"/>
  <c r="AT172" i="17" a="1"/>
  <c r="AQ119" i="17" a="1"/>
  <c r="Z24" i="17"/>
  <c r="AK86" i="17" a="1"/>
  <c r="AR157" i="17" a="1"/>
  <c r="AP15" i="17" a="1"/>
  <c r="AP154" i="17" a="1"/>
  <c r="AT17" i="17" a="1"/>
  <c r="AO64" i="17" a="1"/>
  <c r="Y32" i="17"/>
  <c r="AL108" i="17" a="1"/>
  <c r="U12" i="17"/>
  <c r="AQ177" i="17" a="1"/>
  <c r="AK154" i="17" a="1"/>
  <c r="V9" i="17"/>
  <c r="AN9" i="17" a="1"/>
  <c r="AP36" i="17" a="1"/>
  <c r="AQ117" i="17" a="1"/>
  <c r="AM172" i="17" a="1"/>
  <c r="AM39" i="17" a="1"/>
  <c r="AQ138" i="17" a="1"/>
  <c r="AQ52" i="17" a="1"/>
  <c r="AK93" i="17" a="1"/>
  <c r="AR63" i="17" a="1"/>
  <c r="AK99" i="17" a="1"/>
  <c r="AM187" i="17" a="1"/>
  <c r="AQ72" i="17" a="1"/>
  <c r="AS68" i="17" a="1"/>
  <c r="AP148" i="17" a="1"/>
  <c r="AK73" i="17" a="1"/>
  <c r="AN44" i="17" a="1"/>
  <c r="U17" i="17"/>
  <c r="AM66" i="17" a="1"/>
  <c r="AN142" i="17" a="1"/>
  <c r="AR192" i="17" a="1"/>
  <c r="AR89" i="17" a="1"/>
  <c r="AQ32" i="17" a="1"/>
  <c r="AS99" i="17" a="1"/>
  <c r="AK24" i="17" a="1"/>
  <c r="AB12" i="17"/>
  <c r="AO101" i="17" a="1"/>
  <c r="AR180" i="17" a="1"/>
  <c r="X22" i="17"/>
  <c r="AS73" i="17" a="1"/>
  <c r="AO113" i="17" a="1"/>
  <c r="AP172" i="17" a="1"/>
  <c r="AL171" i="17" a="1"/>
  <c r="X29" i="17"/>
  <c r="AQ182" i="17" a="1"/>
  <c r="AP89" i="17" a="1"/>
  <c r="U4" i="17"/>
  <c r="AP166" i="17" a="1"/>
  <c r="AO88" i="17" a="1"/>
  <c r="AL179" i="17" a="1"/>
  <c r="AT129" i="17" a="1"/>
  <c r="AP169" i="17" a="1"/>
  <c r="AK65" i="17" a="1"/>
  <c r="AQ57" i="17" a="1"/>
  <c r="AR134" i="17" a="1"/>
  <c r="AR107" i="17" a="1"/>
  <c r="V31" i="17"/>
  <c r="Z23" i="17"/>
  <c r="AK71" i="17" a="1"/>
  <c r="AP182" i="17" a="1"/>
  <c r="AQ36" i="17" a="1"/>
  <c r="AK120" i="17" a="1"/>
  <c r="AL71" i="17" a="1"/>
  <c r="AS30" i="17" a="1"/>
  <c r="AQ102" i="17" a="1"/>
  <c r="AR122" i="17" a="1"/>
  <c r="Y7" i="17"/>
  <c r="AS178" i="17" a="1"/>
  <c r="AT162" i="17" a="1"/>
  <c r="AE17" i="17"/>
  <c r="AS23" i="17" a="1"/>
  <c r="AS71" i="17" a="1"/>
  <c r="AS29" i="17" a="1"/>
  <c r="AL96" i="17" a="1"/>
  <c r="AE19" i="17"/>
  <c r="AN70" i="17" a="1"/>
  <c r="AS165" i="17" a="1"/>
  <c r="Z30" i="17"/>
  <c r="AN73" i="17" a="1"/>
  <c r="AQ190" i="17" a="1"/>
  <c r="V8" i="17"/>
  <c r="V24" i="17"/>
  <c r="AP75" i="17" a="1"/>
  <c r="Z13" i="17"/>
  <c r="AT151" i="17" a="1"/>
  <c r="AO98" i="17" a="1"/>
  <c r="AP22" i="17" a="1"/>
  <c r="AM175" i="17" a="1"/>
  <c r="AN71" i="17" a="1"/>
  <c r="L38" i="19" a="1"/>
  <c r="AM70" i="17" a="1"/>
  <c r="AR80" i="17" a="1"/>
  <c r="AK87" i="17" a="1"/>
  <c r="AL157" i="17" a="1"/>
  <c r="AT136" i="17" a="1"/>
  <c r="AP110" i="17" a="1"/>
  <c r="AN121" i="17" a="1"/>
  <c r="AL183" i="17" a="1"/>
  <c r="AQ28" i="17" a="1"/>
  <c r="V19" i="17"/>
  <c r="AR164" i="17" a="1"/>
  <c r="AM68" i="17" a="1"/>
  <c r="AR100" i="17" a="1"/>
  <c r="X6" i="17"/>
  <c r="AE26" i="17"/>
  <c r="AO130" i="17" a="1"/>
  <c r="AP115" i="17" a="1"/>
  <c r="AL124" i="17" a="1"/>
  <c r="AS151" i="17" a="1"/>
  <c r="AR158" i="17" a="1"/>
  <c r="AT158" i="17" a="1"/>
  <c r="AM134" i="17" a="1"/>
  <c r="AM116" i="17" a="1"/>
  <c r="AL93" i="17" a="1"/>
  <c r="AS74" i="17" a="1"/>
  <c r="AR95" i="17" a="1"/>
  <c r="AL191" i="17" a="1"/>
  <c r="AN105" i="17" a="1"/>
  <c r="AN8" i="17" a="1"/>
  <c r="AO187" i="17" a="1"/>
  <c r="AM96" i="17" a="1"/>
  <c r="AO155" i="17" a="1"/>
  <c r="AP79" i="17" a="1"/>
  <c r="AO105" i="17" a="1"/>
  <c r="AL28" i="17" a="1"/>
  <c r="AN40" i="17" a="1"/>
  <c r="AO173" i="17" a="1"/>
  <c r="AQ80" i="17" a="1"/>
  <c r="AT19" i="17" a="1"/>
  <c r="AN99" i="17" a="1"/>
  <c r="V20" i="17"/>
  <c r="AN165" i="17" a="1"/>
  <c r="AL70" i="17" a="1"/>
  <c r="U32" i="17"/>
  <c r="AR42" i="17" a="1"/>
  <c r="AM144" i="17" a="1"/>
  <c r="AP186" i="17" a="1"/>
  <c r="AK192" i="17" a="1"/>
  <c r="AL40" i="17" a="1"/>
  <c r="AL25" i="17" a="1"/>
  <c r="AM35" i="17" a="1"/>
  <c r="W26" i="17"/>
  <c r="AR128" i="17" a="1"/>
  <c r="AT47" i="17" a="1"/>
  <c r="AK112" i="17" a="1"/>
  <c r="AN88" i="17" a="1"/>
  <c r="AQ122" i="17" a="1"/>
  <c r="AT39" i="17" a="1"/>
  <c r="AK85" i="17" a="1"/>
  <c r="AK81" i="17" a="1"/>
  <c r="W20" i="17"/>
  <c r="AP130" i="17" a="1"/>
  <c r="AP18" i="17" a="1"/>
  <c r="AS89" i="17" a="1"/>
  <c r="AN19" i="17" a="1"/>
  <c r="AB30" i="17"/>
  <c r="AK185" i="17" a="1"/>
  <c r="AS47" i="17" a="1"/>
  <c r="AO89" i="17" a="1"/>
  <c r="AP8" i="17" a="1"/>
  <c r="AT99" i="17" a="1"/>
  <c r="AR73" i="17" a="1"/>
  <c r="AT170" i="17" a="1"/>
  <c r="U5" i="17"/>
  <c r="X19" i="17"/>
  <c r="AK95" i="17" a="1"/>
  <c r="AQ93" i="17" a="1"/>
  <c r="AN106" i="17" a="1"/>
  <c r="AM72" i="17" a="1"/>
  <c r="AK142" i="17" a="1"/>
  <c r="AL144" i="17" a="1"/>
  <c r="AN46" i="17" a="1"/>
  <c r="T14" i="17"/>
  <c r="AS70" i="17" a="1"/>
  <c r="AM120" i="17" a="1"/>
  <c r="AM43" i="17" a="1"/>
  <c r="AN45" i="17" a="1"/>
  <c r="AO169" i="17" a="1"/>
  <c r="AQ24" i="17" a="1"/>
  <c r="AQ106" i="17" a="1"/>
  <c r="Z5" i="17"/>
  <c r="AK52" i="17" a="1"/>
  <c r="AL72" i="17" a="1"/>
  <c r="AL156" i="17" a="1"/>
  <c r="Z26" i="17"/>
  <c r="AT103" i="17" a="1"/>
  <c r="AS75" i="17" a="1"/>
  <c r="AK38" i="17" a="1"/>
  <c r="AO134" i="17" a="1"/>
  <c r="AO128" i="17" a="1"/>
  <c r="AK127" i="17" a="1"/>
  <c r="AQ120" i="17" a="1"/>
  <c r="AL121" i="17" a="1"/>
  <c r="AK96" i="17" a="1"/>
  <c r="AO166" i="17" a="1"/>
  <c r="AT143" i="17" a="1"/>
  <c r="AT101" i="17" a="1"/>
  <c r="AS79" i="17" a="1"/>
  <c r="AP45" i="17" a="1"/>
  <c r="AS128" i="17" a="1"/>
  <c r="L13" i="19" a="1"/>
  <c r="AT141" i="17" a="1"/>
  <c r="AK75" i="17" a="1"/>
  <c r="AO193" i="17" a="1"/>
  <c r="AN164" i="17" a="1"/>
  <c r="AL23" i="17" a="1"/>
  <c r="AT155" i="17" a="1"/>
  <c r="AB31" i="17"/>
  <c r="AO107" i="17" a="1"/>
  <c r="AP123" i="17" a="1"/>
  <c r="U23" i="17"/>
  <c r="AK163" i="17" a="1"/>
  <c r="AQ142" i="17" a="1"/>
  <c r="AR46" i="17" a="1"/>
  <c r="AT150" i="17" a="1"/>
  <c r="AP68" i="17" a="1"/>
  <c r="AQ133" i="17" a="1"/>
  <c r="AM82" i="17" a="1"/>
  <c r="AO180" i="17" a="1"/>
  <c r="AR99" i="17" a="1"/>
  <c r="AO36" i="17" a="1"/>
  <c r="AM53" i="17" a="1"/>
  <c r="Z11" i="17"/>
  <c r="AP100" i="17" a="1"/>
  <c r="Z32" i="17"/>
  <c r="AP80" i="17" a="1"/>
  <c r="AO189" i="17" a="1"/>
  <c r="AL30" i="17" a="1"/>
  <c r="AK157" i="17" a="1"/>
  <c r="AO71" i="17" a="1"/>
  <c r="L30" i="19" a="1"/>
  <c r="AS192" i="17" a="1"/>
  <c r="AM194" i="17" a="1"/>
  <c r="AM168" i="17" a="1"/>
  <c r="AN17" i="17" a="1"/>
  <c r="AL81" i="17" a="1"/>
  <c r="AO131" i="17" a="1"/>
  <c r="AL135" i="17" a="1"/>
  <c r="AR56" i="17" a="1"/>
  <c r="AL154" i="17" a="1"/>
  <c r="AQ140" i="17" a="1"/>
  <c r="AK149" i="17" a="1"/>
  <c r="AB7" i="17"/>
  <c r="AR159" i="17" a="1"/>
  <c r="AM183" i="17" a="1"/>
  <c r="AP81" i="17" a="1"/>
  <c r="AN87" i="17" a="1"/>
  <c r="AM85" i="17" a="1"/>
  <c r="V14" i="17"/>
  <c r="AK102" i="17" a="1"/>
  <c r="AQ123" i="17" a="1"/>
  <c r="AS115" i="17" a="1"/>
  <c r="AK193" i="17" a="1"/>
  <c r="AL136" i="17" a="1"/>
  <c r="AS110" i="17" a="1"/>
  <c r="AM29" i="17" a="1"/>
  <c r="AM88" i="17" a="1"/>
  <c r="AT119" i="17" a="1"/>
  <c r="AT185" i="17" a="1"/>
  <c r="AP19" i="17" a="1"/>
  <c r="AK123" i="17" a="1"/>
  <c r="AS194" i="17" a="1"/>
  <c r="AK66" i="17" a="1"/>
  <c r="AS44" i="17" a="1"/>
  <c r="AK31" i="17" a="1"/>
  <c r="AN38" i="17" a="1"/>
  <c r="U24" i="17"/>
  <c r="AK135" i="17" a="1"/>
  <c r="AP117" i="17" a="1"/>
  <c r="AR124" i="17" a="1"/>
  <c r="AS11" i="17" a="1"/>
  <c r="AN24" i="17" a="1"/>
  <c r="AQ95" i="17" a="1"/>
  <c r="AT93" i="17" a="1"/>
  <c r="AT53" i="17" a="1"/>
  <c r="X21" i="17"/>
  <c r="AN95" i="17" a="1"/>
  <c r="AT92" i="17" a="1"/>
  <c r="AR144" i="17" a="1"/>
  <c r="AL137" i="17" a="1"/>
  <c r="AB10" i="17"/>
  <c r="X11" i="17"/>
  <c r="AT25" i="17" a="1"/>
  <c r="AP30" i="17" a="1"/>
  <c r="AM81" i="17" a="1"/>
  <c r="AM52" i="17" a="1"/>
  <c r="AQ176" i="17" a="1"/>
  <c r="AT157" i="17" a="1"/>
  <c r="Y23" i="17"/>
  <c r="AK162" i="17" a="1"/>
  <c r="AQ191" i="17" a="1"/>
  <c r="AO175" i="17" a="1"/>
  <c r="AT124" i="17" a="1"/>
  <c r="AM163" i="17" a="1"/>
  <c r="AQ9" i="17" a="1"/>
  <c r="AK74" i="17" a="1"/>
  <c r="AK152" i="17" a="1"/>
  <c r="AL159" i="17" a="1"/>
  <c r="AK183" i="17" a="1"/>
  <c r="AP145" i="17" a="1"/>
  <c r="AP175" i="17" a="1"/>
  <c r="W15" i="17"/>
  <c r="AN79" i="17" a="1"/>
  <c r="AN127" i="17" a="1"/>
  <c r="AL100" i="17" a="1"/>
  <c r="AO70" i="17" a="1"/>
  <c r="L34" i="19" a="1"/>
  <c r="AQ17" i="17" a="1"/>
  <c r="AK134" i="17" a="1"/>
  <c r="AS177" i="17" a="1"/>
  <c r="AO141" i="17" a="1"/>
  <c r="AM11" i="17" a="1"/>
  <c r="AK161" i="17" a="1"/>
  <c r="V32" i="17"/>
  <c r="AN128" i="17" a="1"/>
  <c r="AQ23" i="17" a="1"/>
  <c r="AR161" i="17" a="1"/>
  <c r="AK182" i="17" a="1"/>
  <c r="AO25" i="17" a="1"/>
  <c r="AQ64" i="17" a="1"/>
  <c r="AM177" i="17" a="1"/>
  <c r="AO165" i="17" a="1"/>
  <c r="AO92" i="17" a="1"/>
  <c r="AQ70" i="17" a="1"/>
  <c r="AP185" i="17" a="1"/>
  <c r="AL19" i="17" a="1"/>
  <c r="U25" i="17"/>
  <c r="AP44" i="17" a="1"/>
  <c r="AR191" i="17" a="1"/>
  <c r="AM107" i="17" a="1"/>
  <c r="AP40" i="17" a="1"/>
  <c r="AO149" i="17" a="1"/>
  <c r="V30" i="17"/>
  <c r="AL84" i="17" a="1"/>
  <c r="AR65" i="17" a="1"/>
  <c r="AN155" i="17" a="1"/>
  <c r="AO119" i="17" a="1"/>
  <c r="AR28" i="17" a="1"/>
  <c r="AS123" i="17" a="1"/>
  <c r="AS133" i="17" a="1"/>
  <c r="AM23" i="17" a="1"/>
  <c r="AT159" i="17" a="1"/>
  <c r="AL180" i="17" a="1"/>
  <c r="AO163" i="17" a="1"/>
  <c r="AR47" i="17" a="1"/>
  <c r="AP177" i="17" a="1"/>
  <c r="AR36" i="17" a="1"/>
  <c r="T27" i="17"/>
  <c r="AN49" i="17" a="1"/>
  <c r="L40" i="19" a="1"/>
  <c r="AL50" i="17" a="1"/>
  <c r="AM60" i="17" a="1"/>
  <c r="T20" i="17"/>
  <c r="X18" i="17"/>
  <c r="AR91" i="17" a="1"/>
  <c r="AB24" i="17"/>
  <c r="AS46" i="17" a="1"/>
  <c r="Y26" i="17"/>
  <c r="AK147" i="17" a="1"/>
  <c r="T13" i="17"/>
  <c r="AT189" i="17" a="1"/>
  <c r="AP164" i="17" a="1"/>
  <c r="AO102" i="17" a="1"/>
  <c r="AO140" i="17" a="1"/>
  <c r="AQ105" i="17" a="1"/>
  <c r="AP72" i="17" a="1"/>
  <c r="AL75" i="17" a="1"/>
  <c r="AQ19" i="17" a="1"/>
  <c r="AN140" i="17" a="1"/>
  <c r="AM191" i="17" a="1"/>
  <c r="AM45" i="17" a="1"/>
  <c r="AQ145" i="17" a="1"/>
  <c r="AO109" i="17" a="1"/>
  <c r="AT80" i="17" a="1"/>
  <c r="AT22" i="17" a="1"/>
  <c r="AN94" i="17" a="1"/>
  <c r="AK141" i="17" a="1"/>
  <c r="AL131" i="17" a="1"/>
  <c r="AL143" i="17" a="1"/>
  <c r="Y27" i="17"/>
  <c r="AE23" i="17"/>
  <c r="AS51" i="17" a="1"/>
  <c r="X31" i="17"/>
  <c r="AR116" i="17" a="1"/>
  <c r="AN101" i="17" a="1"/>
  <c r="AM73" i="17" a="1"/>
  <c r="Y15" i="17"/>
  <c r="X16" i="17"/>
  <c r="AT154" i="17" a="1"/>
  <c r="AP127" i="17" a="1"/>
  <c r="AL74" i="17" a="1"/>
  <c r="AR117" i="17" a="1"/>
  <c r="AQ114" i="17" a="1"/>
  <c r="AS163" i="17" a="1"/>
  <c r="AT182" i="17" a="1"/>
  <c r="AM130" i="17" a="1"/>
  <c r="AL109" i="17" a="1"/>
  <c r="AQ86" i="17" a="1"/>
  <c r="AS156" i="17" a="1"/>
  <c r="AL57" i="17" a="1"/>
  <c r="AO29" i="17" a="1"/>
  <c r="AP129" i="17" a="1"/>
  <c r="AS108" i="17" a="1"/>
  <c r="AT42" i="17" a="1"/>
  <c r="AL89" i="17" a="1"/>
  <c r="X12" i="17"/>
  <c r="AS145" i="17" a="1"/>
  <c r="AM141" i="17" a="1"/>
  <c r="AL138" i="17" a="1"/>
  <c r="AL130" i="17" a="1"/>
  <c r="AP162" i="17" a="1"/>
  <c r="AT78" i="17" a="1"/>
  <c r="AR184" i="17" a="1"/>
  <c r="AK170" i="17" a="1"/>
  <c r="AR17" i="17" a="1"/>
  <c r="AT166" i="17" a="1"/>
  <c r="AM36" i="17" a="1"/>
  <c r="AO150" i="17" a="1"/>
  <c r="AP25" i="17" a="1"/>
  <c r="AL193" i="17" a="1"/>
  <c r="AO94" i="17" a="1"/>
  <c r="AR177" i="17" a="1"/>
  <c r="AL101" i="17" a="1"/>
  <c r="Z9" i="17"/>
  <c r="AM110" i="17" a="1"/>
  <c r="AK63" i="17" a="1"/>
  <c r="AP84" i="17" a="1"/>
  <c r="AP12" i="17" a="1"/>
  <c r="AM91" i="17" a="1"/>
  <c r="T10" i="17"/>
  <c r="AM114" i="17" a="1"/>
  <c r="Y22" i="17"/>
  <c r="AL141" i="17" a="1"/>
  <c r="AR135" i="17" a="1"/>
  <c r="AM154" i="17" a="1"/>
  <c r="AQ143" i="17" a="1"/>
  <c r="AM92" i="17" a="1"/>
  <c r="AQ53" i="17" a="1"/>
  <c r="Z28" i="17"/>
  <c r="AL18" i="17" a="1"/>
  <c r="AT161" i="17" a="1"/>
  <c r="AS25" i="17" a="1"/>
  <c r="AQ79" i="17" a="1"/>
  <c r="AR176" i="17" a="1"/>
  <c r="AR109" i="17" a="1"/>
  <c r="AP179" i="17" a="1"/>
  <c r="AL63" i="17" a="1"/>
  <c r="AN147" i="17" a="1"/>
  <c r="AL186" i="17" a="1"/>
  <c r="AQ60" i="17" a="1"/>
  <c r="AP37" i="17" a="1"/>
  <c r="Y13" i="17"/>
  <c r="AR136" i="17" a="1"/>
  <c r="AT24" i="17" a="1"/>
  <c r="AM28" i="17" a="1"/>
  <c r="AR31" i="17" a="1"/>
  <c r="AO84" i="17" a="1"/>
  <c r="AP39" i="17" a="1"/>
  <c r="X17" i="17"/>
  <c r="AP159" i="17" a="1"/>
  <c r="AS95" i="17" a="1"/>
  <c r="AP35" i="17" a="1"/>
  <c r="AR53" i="17" a="1"/>
  <c r="AT49" i="17" a="1"/>
  <c r="AE9" i="17"/>
  <c r="AM74" i="17" a="1"/>
  <c r="AP65" i="17" a="1"/>
  <c r="AS143" i="17" a="1"/>
  <c r="AS77" i="17" a="1"/>
  <c r="AL140" i="17" a="1"/>
  <c r="AN82" i="17" a="1"/>
  <c r="AP192" i="17" a="1"/>
  <c r="AQ179" i="17" a="1"/>
  <c r="AQ108" i="17" a="1"/>
  <c r="AL56" i="17" a="1"/>
  <c r="AN37" i="17" a="1"/>
  <c r="AQ185" i="17" a="1"/>
  <c r="AR74" i="17" a="1"/>
  <c r="AQ73" i="17" a="1"/>
  <c r="AT187" i="17" a="1"/>
  <c r="AK45" i="17" a="1"/>
  <c r="L31" i="19" a="1"/>
  <c r="AN114" i="17" a="1"/>
  <c r="AL162" i="17" a="1"/>
  <c r="W28" i="17"/>
  <c r="T25" i="17"/>
  <c r="AR127" i="17" a="1"/>
  <c r="V28" i="17"/>
  <c r="AS52" i="17" a="1"/>
  <c r="AO72" i="17" a="1"/>
  <c r="AN98" i="17" a="1"/>
  <c r="AP59" i="17" a="1"/>
  <c r="AN144" i="17" a="1"/>
  <c r="AQ166" i="17" a="1"/>
  <c r="AK175" i="17" a="1"/>
  <c r="AR101" i="17" a="1"/>
  <c r="AM193" i="17" a="1"/>
  <c r="W10" i="17"/>
  <c r="AO12" i="17" a="1"/>
  <c r="AS180" i="17" a="1"/>
  <c r="AT18" i="17" a="1"/>
  <c r="Z20" i="17"/>
  <c r="AT9" i="17" a="1"/>
  <c r="AQ94" i="17" a="1"/>
  <c r="AM138" i="17" a="1"/>
  <c r="AM115" i="17" a="1"/>
  <c r="AP190" i="17" a="1"/>
  <c r="AT142" i="17" a="1"/>
  <c r="AO80" i="17" a="1"/>
  <c r="AL114" i="17" a="1"/>
  <c r="AT169" i="17" a="1"/>
  <c r="AR70" i="17" a="1"/>
  <c r="AL68" i="17" a="1"/>
  <c r="L22" i="19" a="1"/>
  <c r="U19" i="17"/>
  <c r="AS64" i="17" a="1"/>
  <c r="AM159" i="17" a="1"/>
  <c r="AT81" i="17" a="1"/>
  <c r="Z21" i="17"/>
  <c r="AL147" i="17" a="1"/>
  <c r="T31" i="17"/>
  <c r="AM86" i="17" a="1"/>
  <c r="AO183" i="17" a="1"/>
  <c r="AQ109" i="17" a="1"/>
  <c r="AT186" i="17" a="1"/>
  <c r="AR93" i="17" a="1"/>
  <c r="AT82" i="17" a="1"/>
  <c r="AP108" i="17" a="1"/>
  <c r="AM128" i="17" a="1"/>
  <c r="AL103" i="17" a="1"/>
  <c r="AS127" i="17" a="1"/>
  <c r="AS183" i="17" a="1"/>
  <c r="AE20" i="17"/>
  <c r="AT46" i="17" a="1"/>
  <c r="AK178" i="17" a="1"/>
  <c r="AO49" i="17" a="1"/>
  <c r="AB17" i="17"/>
  <c r="AT122" i="17" a="1"/>
  <c r="AM149" i="17" a="1"/>
  <c r="AN154" i="17" a="1"/>
  <c r="AS159" i="17" a="1"/>
  <c r="AQ135" i="17" a="1"/>
  <c r="AQ163" i="17" a="1"/>
  <c r="AT50" i="17" a="1"/>
  <c r="AS148" i="17" a="1"/>
  <c r="AN138" i="17" a="1"/>
  <c r="AQ162" i="17" a="1"/>
  <c r="AP38" i="17" a="1"/>
  <c r="Y31" i="17"/>
  <c r="AR151" i="17" a="1"/>
  <c r="AM122" i="17" a="1"/>
  <c r="AO82" i="17" a="1"/>
  <c r="AT191" i="17" a="1"/>
  <c r="T15" i="17"/>
  <c r="AK124" i="17" a="1"/>
  <c r="AP32" i="17" a="1"/>
  <c r="AL64" i="17" a="1"/>
  <c r="AT45" i="17" a="1"/>
  <c r="AT51" i="17" a="1"/>
  <c r="W23" i="17"/>
  <c r="AO38" i="17" a="1"/>
  <c r="AK113" i="17" a="1"/>
  <c r="U31" i="17"/>
  <c r="AO190" i="17" a="1"/>
  <c r="AQ126" i="17" a="1"/>
  <c r="AS126" i="17" a="1"/>
  <c r="AN61" i="17" a="1"/>
  <c r="AM152" i="17" a="1"/>
  <c r="AK165" i="17" a="1"/>
  <c r="Y8" i="17"/>
  <c r="AN12" i="17" a="1"/>
  <c r="AR120" i="17" a="1"/>
  <c r="AP176" i="17" a="1"/>
  <c r="AS15" i="17" a="1"/>
  <c r="AS8" i="17" a="1"/>
  <c r="AN103" i="17" a="1"/>
  <c r="L21" i="19" a="1"/>
  <c r="AP85" i="17" a="1"/>
  <c r="AL15" i="17" a="1"/>
  <c r="AB8" i="17"/>
  <c r="AR71" i="17" a="1"/>
  <c r="AM133" i="17" a="1"/>
  <c r="AQ25" i="17" a="1"/>
  <c r="AE27" i="17"/>
  <c r="AO85" i="17" a="1"/>
  <c r="AM119" i="17" a="1"/>
  <c r="AK122" i="17" a="1"/>
  <c r="AN64" i="17" a="1"/>
  <c r="AL134" i="17" a="1"/>
  <c r="V26" i="17"/>
  <c r="AP158" i="17" a="1"/>
  <c r="AQ88" i="17" a="1"/>
  <c r="AM22" i="17" a="1"/>
  <c r="AO73" i="17" a="1"/>
  <c r="AT123" i="17" a="1"/>
  <c r="AR169" i="17" a="1"/>
  <c r="Z31" i="17"/>
  <c r="T12" i="17"/>
  <c r="AN108" i="17" a="1"/>
  <c r="Z7" i="17"/>
  <c r="AP178" i="17" a="1"/>
  <c r="AL176" i="17" a="1"/>
  <c r="AR166" i="17" a="1"/>
  <c r="AQ61" i="17" a="1"/>
  <c r="AQ59" i="17" a="1"/>
  <c r="AQ65" i="17" a="1"/>
  <c r="AK115" i="17" a="1"/>
  <c r="AR67" i="17" a="1"/>
  <c r="AS78" i="17" a="1"/>
  <c r="AQ149" i="17" a="1"/>
  <c r="AT57" i="17" a="1"/>
  <c r="AL58" i="17" a="1"/>
  <c r="AN32" i="17" a="1"/>
  <c r="AT87" i="17" a="1"/>
  <c r="AR44" i="17" a="1"/>
  <c r="Z8" i="17"/>
  <c r="AS56" i="17" a="1"/>
  <c r="AN162" i="17" a="1"/>
  <c r="AK117" i="17" a="1"/>
  <c r="AK22" i="17" a="1"/>
  <c r="AL192" i="17" a="1"/>
  <c r="AP82" i="17" a="1"/>
  <c r="AQ115" i="17" a="1"/>
  <c r="AK148" i="17" a="1"/>
  <c r="AS60" i="17" a="1"/>
  <c r="AQ131" i="17" a="1"/>
  <c r="AQ192" i="17" a="1"/>
  <c r="AL52" i="17" a="1"/>
  <c r="X24" i="17"/>
  <c r="AK105" i="17" a="1"/>
  <c r="AL117" i="17" a="1"/>
  <c r="AQ78" i="17" a="1"/>
  <c r="AS164" i="17" a="1"/>
  <c r="AP92" i="17" a="1"/>
  <c r="AM124" i="17" a="1"/>
  <c r="AR141" i="17" a="1"/>
  <c r="AP165" i="17" a="1"/>
  <c r="W8" i="17"/>
  <c r="AK100" i="17" a="1"/>
  <c r="AM49" i="17" a="1"/>
  <c r="AO177" i="17" a="1"/>
  <c r="Z14" i="17"/>
  <c r="AB9" i="17"/>
  <c r="X30" i="17"/>
  <c r="AP170" i="17" a="1"/>
  <c r="AS193" i="17" a="1"/>
  <c r="AO112" i="17" a="1"/>
  <c r="AN145" i="17" a="1"/>
  <c r="Z25" i="17"/>
  <c r="AS173" i="17" a="1"/>
  <c r="AP60" i="17" a="1"/>
  <c r="AT177" i="17" a="1"/>
  <c r="AT67" i="17" a="1"/>
  <c r="AM166" i="17" a="1"/>
  <c r="AO138" i="17" a="1"/>
  <c r="AN120" i="17" a="1"/>
  <c r="AQ89" i="17" a="1"/>
  <c r="AP49" i="17" a="1"/>
  <c r="AL60" i="17" a="1"/>
  <c r="AS158" i="17" a="1"/>
  <c r="AE15" i="17"/>
  <c r="AL152" i="17" a="1"/>
  <c r="AK12" i="17" a="1"/>
  <c r="AO179" i="17" a="1"/>
  <c r="AQ92" i="17" a="1"/>
  <c r="AN149" i="17" a="1"/>
  <c r="L48" i="19" a="1"/>
  <c r="AM31" i="17" a="1"/>
  <c r="AN47" i="17" a="1"/>
  <c r="AO144" i="17" a="1"/>
  <c r="X27" i="17"/>
  <c r="AT40" i="17" a="1"/>
  <c r="AQ193" i="17" a="1"/>
  <c r="AQ22" i="17" a="1"/>
  <c r="AS50" i="17" a="1"/>
  <c r="AM57" i="17" a="1"/>
  <c r="AM44" i="17" a="1"/>
  <c r="AM18" i="17" a="1"/>
  <c r="V16" i="17"/>
  <c r="AK57" i="17" a="1"/>
  <c r="AB22" i="17"/>
  <c r="AM63" i="17" a="1"/>
  <c r="AL123" i="17" a="1"/>
  <c r="W16" i="17"/>
  <c r="AR59" i="17" a="1"/>
  <c r="AM161" i="17" a="1"/>
  <c r="AL145" i="17" a="1"/>
  <c r="AN109" i="17" a="1"/>
  <c r="AR168" i="17" a="1"/>
  <c r="AL110" i="17" a="1"/>
  <c r="AL142" i="17" a="1"/>
  <c r="W30" i="17"/>
  <c r="AK67" i="17" a="1"/>
  <c r="AP52" i="17" a="1"/>
  <c r="AR110" i="17" a="1"/>
  <c r="AR72" i="17" a="1"/>
  <c r="AL46" i="17" a="1"/>
  <c r="AN115" i="17" a="1"/>
  <c r="AT58" i="17" a="1"/>
  <c r="AT66" i="17" a="1"/>
  <c r="AM142" i="17" a="1"/>
  <c r="AT120" i="17" a="1"/>
  <c r="AL85" i="17" a="1"/>
  <c r="AM24" i="17" a="1"/>
  <c r="AN80" i="17" a="1"/>
  <c r="AP61" i="17" a="1"/>
  <c r="AK158" i="17" a="1"/>
  <c r="AS66" i="17" a="1"/>
  <c r="AB32" i="17"/>
  <c r="AS53" i="17" a="1"/>
  <c r="AK40" i="17" a="1"/>
  <c r="AO9" i="17" a="1"/>
  <c r="AR154" i="17" a="1"/>
  <c r="AR78" i="17" a="1"/>
  <c r="AS35" i="17" a="1"/>
  <c r="AQ35" i="17" a="1"/>
  <c r="AS114" i="17" a="1"/>
  <c r="W5" i="17"/>
  <c r="AK180" i="17" a="1"/>
  <c r="AQ56" i="17" a="1"/>
  <c r="AK101" i="17" a="1"/>
  <c r="L32" i="19" a="1"/>
  <c r="AT43" i="17" a="1"/>
  <c r="AO192" i="17" a="1"/>
  <c r="AO122" i="17" a="1"/>
  <c r="AT77" i="17" a="1"/>
  <c r="AP31" i="17" a="1"/>
  <c r="AP93" i="17" a="1"/>
  <c r="AP136" i="17" a="1"/>
  <c r="AL94" i="17" a="1"/>
  <c r="AS157" i="17" a="1"/>
  <c r="AK32" i="17" a="1"/>
  <c r="AM75" i="17" a="1"/>
  <c r="AQ58" i="17" a="1"/>
  <c r="AT110" i="17" a="1"/>
  <c r="AK92" i="17" a="1"/>
  <c r="AO40" i="17" a="1"/>
  <c r="AT10" i="17" a="1"/>
  <c r="AM56" i="17" a="1"/>
  <c r="AN143" i="17" a="1"/>
  <c r="AT113" i="17" a="1"/>
  <c r="AT96" i="17" a="1"/>
  <c r="AR171" i="17" a="1"/>
  <c r="AT163" i="17" a="1"/>
  <c r="AK18" i="17" a="1"/>
  <c r="AN180" i="17" a="1"/>
  <c r="AN130" i="17" a="1"/>
  <c r="AQ113" i="17" a="1"/>
  <c r="AS140" i="17" a="1"/>
  <c r="AR148" i="17" a="1"/>
  <c r="U27" i="17"/>
  <c r="AR77" i="17" a="1"/>
  <c r="AQ96" i="17" a="1"/>
  <c r="AS120" i="17" a="1"/>
  <c r="Y10" i="17"/>
  <c r="AO66" i="17" a="1"/>
  <c r="L9" i="19" a="1"/>
  <c r="AM156" i="17" a="1"/>
  <c r="AL129" i="17" a="1"/>
  <c r="AN102" i="17" a="1"/>
  <c r="AK89" i="17" a="1"/>
  <c r="AP94" i="17" a="1"/>
  <c r="AN119" i="17" a="1"/>
  <c r="AK176" i="17" a="1"/>
  <c r="AT173" i="17" a="1"/>
  <c r="AO10" i="17" a="1"/>
  <c r="AS134" i="17" a="1"/>
  <c r="AR119" i="17" a="1"/>
  <c r="AO164" i="17" a="1"/>
  <c r="AN141" i="17" a="1"/>
  <c r="AS112" i="17" a="1"/>
  <c r="AT180" i="17" a="1"/>
  <c r="AK47" i="17" a="1"/>
  <c r="AP173" i="17" a="1"/>
  <c r="AL177" i="17" a="1"/>
  <c r="AO24" i="17" a="1"/>
  <c r="AO54" i="17" a="1"/>
  <c r="AN67" i="17" a="1"/>
  <c r="AK51" i="17" a="1"/>
  <c r="AK145" i="17" a="1"/>
  <c r="AR156" i="17" a="1"/>
  <c r="AM87" i="17" a="1"/>
  <c r="AL45" i="17" a="1"/>
  <c r="AQ30" i="17" a="1"/>
  <c r="AO52" i="17" a="1"/>
  <c r="AS49" i="17" a="1"/>
  <c r="AK15" i="17" a="1"/>
  <c r="AS162" i="17" a="1"/>
  <c r="AR178" i="17" a="1"/>
  <c r="AL9" i="17" a="1"/>
  <c r="AO22" i="17" a="1"/>
  <c r="AR81" i="17" a="1"/>
  <c r="AM158" i="17" a="1"/>
  <c r="AN107" i="17" a="1"/>
  <c r="X8" i="17"/>
  <c r="AK80" i="17" a="1"/>
  <c r="AQ42" i="17" a="1"/>
  <c r="AP54" i="17" a="1"/>
  <c r="AO86" i="17" a="1"/>
  <c r="AN110" i="17" a="1"/>
  <c r="AR50" i="17" a="1"/>
  <c r="AN170" i="17" a="1"/>
  <c r="AE25" i="17"/>
  <c r="AT84" i="17" a="1"/>
  <c r="AP23" i="17" a="1"/>
  <c r="L29" i="19" a="1"/>
  <c r="AL95" i="17" a="1"/>
  <c r="T9" i="17"/>
  <c r="V23" i="17"/>
  <c r="AR112" i="17" a="1"/>
  <c r="T11" i="17"/>
  <c r="AP58" i="17" a="1"/>
  <c r="AS119" i="17" a="1"/>
  <c r="AN10" i="17" a="1"/>
  <c r="AL126" i="17" a="1"/>
  <c r="AQ82" i="17" a="1"/>
  <c r="AM179" i="17" a="1"/>
  <c r="V15" i="17"/>
  <c r="AB23" i="17"/>
  <c r="AO17" i="17" a="1"/>
  <c r="AM186" i="17" a="1"/>
  <c r="AQ144" i="17" a="1"/>
  <c r="AT85" i="17" a="1"/>
  <c r="AQ50" i="17" a="1"/>
  <c r="AO116" i="17" a="1"/>
  <c r="AN184" i="17" a="1"/>
  <c r="AK119" i="17" a="1"/>
  <c r="AP70" i="17" a="1"/>
  <c r="AM189" i="17" a="1"/>
  <c r="AO182" i="17" a="1"/>
  <c r="AN92" i="17" a="1"/>
  <c r="AK138" i="17" a="1"/>
  <c r="AQ43" i="17" a="1"/>
  <c r="AQ110" i="17" a="1"/>
  <c r="AN192" i="17" a="1"/>
  <c r="AR19" i="17" a="1"/>
  <c r="AP140" i="17" a="1"/>
  <c r="AM37" i="17" a="1"/>
  <c r="AS124" i="17" a="1"/>
  <c r="T17" i="17"/>
  <c r="AS72" i="17" a="1"/>
  <c r="AN56" i="17" a="1"/>
  <c r="AL59" i="17" a="1"/>
  <c r="AT100" i="17" a="1"/>
  <c r="AT105" i="17" a="1"/>
  <c r="AP105" i="17" a="1"/>
  <c r="L25" i="19" a="1"/>
  <c r="AP95" i="17" a="1"/>
  <c r="AS154" i="17" a="1"/>
  <c r="AN193" i="17" a="1"/>
  <c r="AO60" i="17" a="1"/>
  <c r="AL184" i="17" a="1"/>
  <c r="AT149" i="17" a="1"/>
  <c r="AL29" i="17" a="1"/>
  <c r="AP133" i="17" a="1"/>
  <c r="AS190" i="17" a="1"/>
  <c r="U28" i="17"/>
  <c r="AB11" i="17"/>
  <c r="AK42" i="17" a="1"/>
  <c r="AM129" i="17" a="1"/>
  <c r="AL66" i="17" a="1"/>
  <c r="Y29" i="17"/>
  <c r="Y17" i="17"/>
  <c r="AQ148" i="17" a="1"/>
  <c r="AM32" i="17" a="1"/>
  <c r="U30" i="17"/>
  <c r="AM105" i="17" a="1"/>
  <c r="AK44" i="17" a="1"/>
  <c r="AM46" i="17" a="1"/>
  <c r="AN77" i="17" a="1"/>
  <c r="AK186" i="17" a="1"/>
  <c r="AL127" i="17" a="1"/>
  <c r="AL87" i="17" a="1"/>
  <c r="AP91" i="17" a="1"/>
  <c r="Z10" i="17"/>
  <c r="AO136" i="17" a="1"/>
  <c r="AT130" i="17" a="1"/>
  <c r="AM65" i="17" a="1"/>
  <c r="AQ137" i="17" a="1"/>
  <c r="AR18" i="17" a="1"/>
  <c r="AM61" i="17" a="1"/>
  <c r="AR182" i="17" a="1"/>
  <c r="AO63" i="17" a="1"/>
  <c r="AO170" i="17" a="1"/>
  <c r="AN179" i="17" a="1"/>
  <c r="AO161" i="17" a="1"/>
  <c r="AR79" i="17" a="1"/>
  <c r="AQ112" i="17" a="1"/>
  <c r="AR33" i="17" a="1"/>
  <c r="AQ38" i="17" a="1"/>
  <c r="AO121" i="17" a="1"/>
  <c r="AQ121" i="17" a="1"/>
  <c r="AN35" i="17" a="1"/>
  <c r="AO8" i="17" a="1"/>
  <c r="AS149" i="17" a="1"/>
  <c r="AQ171" i="17" a="1"/>
  <c r="AR108" i="17" a="1"/>
  <c r="AO162" i="17" a="1"/>
  <c r="AO103" i="17" a="1"/>
  <c r="AO145" i="17" a="1"/>
  <c r="AS84" i="17" a="1"/>
  <c r="AO50" i="17" a="1"/>
  <c r="AQ31" i="17" a="1"/>
  <c r="AP152" i="17" a="1"/>
  <c r="L12" i="19" a="1"/>
  <c r="AS117" i="17" a="1"/>
  <c r="Z22" i="17"/>
  <c r="AL61" i="17" a="1"/>
  <c r="AN161" i="17" a="1"/>
  <c r="AT44" i="17" a="1"/>
  <c r="AT68" i="17" a="1"/>
  <c r="AP126" i="17" a="1"/>
  <c r="AS142" i="17" a="1"/>
  <c r="AN23" i="17" a="1"/>
  <c r="AP151" i="17" a="1"/>
  <c r="AL91" i="17" a="1"/>
  <c r="AO37" i="17" a="1"/>
  <c r="AS18" i="17" a="1"/>
  <c r="AN157" i="17" a="1"/>
  <c r="AP29" i="17" a="1"/>
  <c r="AM145" i="17" a="1"/>
  <c r="AL31" i="17" a="1"/>
  <c r="AE10" i="17"/>
  <c r="AM108" i="17" a="1"/>
  <c r="V21" i="17"/>
  <c r="AE14" i="17"/>
  <c r="V11" i="17"/>
  <c r="AK131" i="17" a="1"/>
  <c r="AO96" i="17" a="1"/>
  <c r="AR190" i="17" a="1"/>
  <c r="X4" i="17"/>
  <c r="AK189" i="17" a="1"/>
  <c r="AS106" i="17" a="1"/>
  <c r="AL168" i="17" a="1"/>
  <c r="AO11" i="17" a="1"/>
  <c r="U7" i="17"/>
  <c r="AR49" i="17" a="1"/>
  <c r="AO157" i="17" a="1"/>
  <c r="AK179" i="17" a="1"/>
  <c r="AT37" i="17" a="1"/>
  <c r="AS10" i="17" a="1"/>
  <c r="AN169" i="17" a="1"/>
  <c r="AT112" i="17" a="1"/>
  <c r="AP187" i="17" a="1"/>
  <c r="AO77" i="17" a="1"/>
  <c r="AO93" i="17" a="1"/>
  <c r="AL78" i="17" a="1"/>
  <c r="AQ150" i="17" a="1"/>
  <c r="X10" i="17"/>
  <c r="AL163" i="17" a="1"/>
  <c r="AO58" i="17" a="1"/>
  <c r="AS185" i="17" a="1"/>
  <c r="AL133" i="17" a="1"/>
  <c r="AS19" i="17" a="1"/>
  <c r="AM113" i="17" a="1"/>
  <c r="AO79" i="17" a="1"/>
  <c r="AR175" i="17" a="1"/>
  <c r="AT193" i="17" a="1"/>
  <c r="AQ87" i="17" a="1"/>
  <c r="AO47" i="17" a="1"/>
  <c r="AM67" i="17" a="1"/>
  <c r="AM136" i="17" a="1"/>
  <c r="AB19" i="17"/>
  <c r="AN190" i="17" a="1"/>
  <c r="AQ152" i="17" a="1"/>
  <c r="AP78" i="17" a="1"/>
  <c r="AS138" i="17" a="1"/>
  <c r="AL49" i="17" a="1"/>
  <c r="AR22" i="17" a="1"/>
  <c r="AS170" i="17" a="1"/>
  <c r="AO178" i="17" a="1"/>
  <c r="AO18" i="17" a="1"/>
  <c r="T24" i="17"/>
  <c r="AS137" i="17" a="1"/>
  <c r="AP114" i="17" a="1"/>
  <c r="AT71" i="17" a="1"/>
  <c r="AS92" i="17" a="1"/>
  <c r="AP57" i="17" a="1"/>
  <c r="AR183" i="17" a="1"/>
  <c r="AK156" i="17" a="1"/>
  <c r="AB27" i="17"/>
  <c r="AQ127" i="17" a="1"/>
  <c r="AS141" i="17" a="1"/>
  <c r="AK43" i="17" a="1"/>
  <c r="AR43" i="17" a="1"/>
  <c r="AL36" i="17" a="1"/>
  <c r="AN29" i="17" a="1"/>
  <c r="AQ74" i="17" a="1"/>
  <c r="AP42" i="17" a="1"/>
  <c r="AK77" i="17" a="1"/>
  <c r="AT63" i="17" a="1"/>
  <c r="AR165" i="17" a="1"/>
  <c r="AM15" i="17" a="1"/>
  <c r="AS189" i="17" a="1"/>
  <c r="AP112" i="17" a="1"/>
  <c r="AL80" i="17" a="1"/>
  <c r="AQ63" i="17" a="1"/>
  <c r="AT91" i="17" a="1"/>
  <c r="AT89" i="17" a="1"/>
  <c r="AQ136" i="17" a="1"/>
  <c r="Z16" i="17"/>
  <c r="AT35" i="17" a="1"/>
  <c r="AQ91" i="17" a="1"/>
  <c r="AP51" i="17" a="1"/>
  <c r="AR163" i="17" a="1"/>
  <c r="AP143" i="17" a="1"/>
  <c r="AP33" i="17" a="1"/>
  <c r="AQ29" i="17" a="1"/>
  <c r="AN78" i="17" a="1"/>
  <c r="AL22" i="17" a="1"/>
  <c r="AR11" i="17" a="1"/>
  <c r="AE7" i="17"/>
  <c r="AT88" i="17" a="1"/>
  <c r="AL161" i="17" a="1"/>
  <c r="AO74" i="17" a="1"/>
  <c r="AT28" i="17" a="1"/>
  <c r="AQ44" i="17" a="1"/>
  <c r="AO32" i="17" a="1"/>
  <c r="AS91" i="17" a="1"/>
  <c r="V13" i="17"/>
  <c r="AN175" i="17" a="1"/>
  <c r="AK88" i="17" a="1"/>
  <c r="AQ168" i="17" a="1"/>
  <c r="AB26" i="17"/>
  <c r="AO28" i="17" a="1"/>
  <c r="AM94" i="17" a="1"/>
  <c r="AT165" i="17" a="1"/>
  <c r="AK136" i="17" a="1"/>
  <c r="AQ68" i="17" a="1"/>
  <c r="AL12" i="17" a="1"/>
  <c r="AS107" i="17" a="1"/>
  <c r="AQ54" i="17" a="1"/>
  <c r="AR52" i="17" a="1"/>
  <c r="L44" i="19" a="1"/>
  <c r="AR64" i="17" a="1"/>
  <c r="AQ180" i="17" a="1"/>
  <c r="AM127" i="17" a="1"/>
  <c r="AM123" i="17" a="1"/>
  <c r="AR170" i="17" a="1"/>
  <c r="AL37" i="17" a="1"/>
  <c r="AN134" i="17" a="1"/>
  <c r="Y12" i="17"/>
  <c r="AQ46" i="17" a="1"/>
  <c r="AS93" i="17" a="1"/>
  <c r="L42" i="19" a="1"/>
  <c r="AT114" i="17" a="1"/>
  <c r="AT133" i="17" a="1"/>
  <c r="AR106" i="17" a="1"/>
  <c r="AR129" i="17" a="1"/>
  <c r="AS131" i="17" a="1"/>
  <c r="L28" i="19" a="1"/>
  <c r="AT86" i="17" a="1"/>
  <c r="AP163" i="17" a="1"/>
  <c r="X13" i="17"/>
  <c r="AR131" i="17" a="1"/>
  <c r="AP53" i="17" a="1"/>
  <c r="AS37" i="17" a="1"/>
  <c r="AQ51" i="17" a="1"/>
  <c r="AS98" i="17" a="1"/>
  <c r="AS28" i="17" a="1"/>
  <c r="AM89" i="17" a="1"/>
  <c r="W12" i="17"/>
  <c r="AS22" i="17" a="1"/>
  <c r="W25" i="17"/>
  <c r="AP122" i="17" a="1"/>
  <c r="AN176" i="17" a="1"/>
  <c r="AS82" i="17" a="1"/>
  <c r="AN22" i="17" a="1"/>
  <c r="L10" i="19" a="1"/>
  <c r="AT152" i="17" a="1"/>
  <c r="AO42" i="17" a="1"/>
  <c r="AL172" i="17" a="1"/>
  <c r="W4" i="17"/>
  <c r="AN189" i="17" a="1"/>
  <c r="AL102" i="17" a="1"/>
  <c r="AO185" i="17" a="1"/>
  <c r="AL166" i="17" a="1"/>
  <c r="AP147" i="17" a="1"/>
  <c r="AO61" i="17" a="1"/>
  <c r="AL43" i="17" a="1"/>
  <c r="AN74" i="17" a="1"/>
  <c r="AO67" i="17" a="1"/>
  <c r="AP138" i="17" a="1"/>
  <c r="AO59" i="17" a="1"/>
  <c r="AN100" i="17" a="1"/>
  <c r="AL38" i="17" a="1"/>
  <c r="AO124" i="17" a="1"/>
  <c r="X14" i="17"/>
  <c r="AQ147" i="17" a="1"/>
  <c r="U18" i="17"/>
  <c r="AO171" i="17" a="1"/>
  <c r="AM84" i="17" a="1"/>
  <c r="AO53" i="17" a="1"/>
  <c r="AE6" i="17"/>
  <c r="AK143" i="17" a="1"/>
  <c r="AK10" i="17" a="1"/>
  <c r="AO135" i="17" a="1"/>
  <c r="AT137" i="17" a="1"/>
  <c r="AM102" i="17" a="1"/>
  <c r="AN91" i="17" a="1"/>
  <c r="AO186" i="17" a="1"/>
  <c r="AK94" i="17" a="1"/>
  <c r="AM51" i="17" a="1"/>
  <c r="AQ98" i="17" a="1"/>
  <c r="AS59" i="17" a="1"/>
  <c r="L37" i="19" a="1"/>
  <c r="AM80" i="17" a="1"/>
  <c r="V4" i="17"/>
  <c r="AN89" i="17" a="1"/>
  <c r="AQ103" i="17" a="1"/>
  <c r="AP109" i="17" a="1"/>
  <c r="V29" i="17"/>
  <c r="AR173" i="17" a="1"/>
  <c r="AS103" i="17" a="1"/>
  <c r="U8" i="17"/>
  <c r="AQ81" i="17" a="1"/>
  <c r="AL105" i="17" a="1"/>
  <c r="L39" i="19" a="1"/>
  <c r="AT23" i="17" a="1"/>
  <c r="AO114" i="17" a="1"/>
  <c r="AQ178" i="17" a="1"/>
  <c r="AP134" i="17" a="1"/>
  <c r="AS57" i="17" a="1"/>
  <c r="AQ183" i="17" a="1"/>
  <c r="AN131" i="17" a="1"/>
  <c r="AO129" i="17" a="1"/>
  <c r="AM47" i="17" a="1"/>
  <c r="AQ15" i="17" a="1"/>
  <c r="AK151" i="17" a="1"/>
  <c r="AP120" i="17" a="1"/>
  <c r="AR84" i="17" a="1"/>
  <c r="AR58" i="17" a="1"/>
  <c r="AK190" i="17" a="1"/>
  <c r="AS65" i="17" a="1"/>
  <c r="AP141" i="17" a="1"/>
  <c r="AQ158" i="17" a="1"/>
  <c r="AR24" i="17" a="1"/>
  <c r="AR172" i="17" a="1"/>
  <c r="AL107" i="17" a="1"/>
  <c r="Y30" i="17"/>
  <c r="AT131" i="17" a="1"/>
  <c r="AP116" i="17" a="1"/>
  <c r="AS33" i="17" a="1"/>
  <c r="L27" i="19" a="1"/>
  <c r="AO81" i="17" a="1"/>
  <c r="AO159" i="17" a="1"/>
  <c r="AT156" i="17" a="1"/>
  <c r="AT145" i="17" a="1"/>
  <c r="AS184" i="17" a="1"/>
  <c r="W14" i="17"/>
  <c r="AM155" i="17" a="1"/>
  <c r="AO68" i="17" a="1"/>
  <c r="AM9" i="17" a="1"/>
  <c r="AP121" i="17" a="1"/>
  <c r="AO123" i="17" a="1"/>
  <c r="AL42" i="17" a="1"/>
  <c r="AN81" i="17" a="1"/>
  <c r="AN18" i="17" a="1"/>
  <c r="L45" i="19" a="1"/>
  <c r="AM103" i="17" a="1"/>
  <c r="AN75" i="17" a="1"/>
  <c r="AS100" i="17" a="1"/>
  <c r="AQ67" i="17" a="1"/>
  <c r="AN148" i="17" a="1"/>
  <c r="AL115" i="17" a="1"/>
  <c r="T32" i="17"/>
  <c r="AN60" i="17" a="1"/>
  <c r="AT121" i="17" a="1"/>
  <c r="AR92" i="17" a="1"/>
  <c r="AT15" i="17" a="1"/>
  <c r="AO110" i="17" a="1"/>
  <c r="AQ173" i="17" a="1"/>
  <c r="AO100" i="17" a="1"/>
  <c r="W19" i="17"/>
  <c r="AS121" i="17" a="1"/>
  <c r="AS152" i="17" a="1"/>
  <c r="AQ12" i="17" a="1"/>
  <c r="L11" i="19" a="1"/>
  <c r="AS136" i="17" a="1"/>
  <c r="X28" i="17"/>
  <c r="AS144" i="17" a="1"/>
  <c r="AP28" i="17" a="1"/>
  <c r="AM135" i="17" a="1"/>
  <c r="AQ33" i="17" a="1"/>
  <c r="V10" i="17"/>
  <c r="X23" i="17"/>
  <c r="AN84" i="17" a="1"/>
  <c r="AK60" i="17" a="1"/>
  <c r="AN168" i="17" a="1"/>
  <c r="AR75" i="17" a="1"/>
  <c r="AO51" i="17" a="1"/>
  <c r="AQ124" i="17" a="1"/>
  <c r="AQ141" i="17" a="1"/>
  <c r="AN39" i="17" a="1"/>
  <c r="AR103" i="17" a="1"/>
  <c r="AR133" i="17" a="1"/>
  <c r="AS179" i="17" a="1"/>
  <c r="AM100" i="17" a="1"/>
  <c r="AM54" i="17" a="1"/>
  <c r="AR85" i="17" a="1"/>
  <c r="AO43" i="17" a="1"/>
  <c r="AR187" i="17" a="1"/>
  <c r="AT128" i="17" a="1"/>
  <c r="AK54" i="17" a="1"/>
  <c r="AP47" i="17" a="1"/>
  <c r="AM99" i="17" a="1"/>
  <c r="AP184" i="17" a="1"/>
  <c r="AT12" i="17" a="1"/>
  <c r="AT11" i="17" a="1"/>
  <c r="AE24" i="17"/>
  <c r="T18" i="17"/>
  <c r="Z27" i="17"/>
  <c r="AK194" i="17" a="1"/>
  <c r="AN112" i="17" a="1"/>
  <c r="AT183" i="17" a="1"/>
  <c r="AK110" i="17" a="1"/>
  <c r="AL92" i="17" a="1"/>
  <c r="AR121" i="17" a="1"/>
  <c r="X32" i="17"/>
  <c r="AT148" i="17" a="1"/>
  <c r="AM38" i="17" a="1"/>
  <c r="AQ45" i="17" a="1"/>
  <c r="AT164" i="17" a="1"/>
  <c r="AO158" i="17" a="1"/>
  <c r="AN152" i="17" a="1"/>
  <c r="AQ159" i="17" a="1"/>
  <c r="AP142" i="17" a="1"/>
  <c r="AL170" i="17" a="1"/>
  <c r="AO142" i="17" a="1"/>
  <c r="L46" i="19" a="1"/>
  <c r="AL165" i="17" a="1"/>
  <c r="AO151" i="17" a="1"/>
  <c r="AP101" i="17" a="1"/>
  <c r="AS109" i="17" a="1"/>
  <c r="AL164" i="17" a="1"/>
  <c r="AT56" i="17" a="1"/>
  <c r="AS12" i="17" a="1"/>
  <c r="AM190" i="17" a="1"/>
  <c r="AT190" i="17" a="1"/>
  <c r="Y11" i="17"/>
  <c r="Y18" i="17"/>
  <c r="AO176" i="17" a="1"/>
  <c r="AK91" i="17" a="1"/>
  <c r="L33" i="19" a="1"/>
  <c r="AK64" i="17" a="1"/>
  <c r="AN150" i="17" a="1"/>
  <c r="AT38" i="17" a="1"/>
  <c r="AL47" i="17" a="1"/>
  <c r="AQ8" i="17" a="1"/>
  <c r="AL51" i="17" a="1"/>
  <c r="AL73" i="17" a="1"/>
  <c r="AR88" i="17" a="1"/>
  <c r="AK129" i="17" a="1"/>
  <c r="AR51" i="17" a="1"/>
  <c r="AR194" i="17" a="1"/>
  <c r="L26" i="19" a="1"/>
  <c r="AO115" i="17" a="1"/>
  <c r="AQ107" i="17" a="1"/>
  <c r="AS155" i="17" a="1"/>
  <c r="AK187" i="17" a="1"/>
  <c r="AR94" i="17" a="1"/>
  <c r="T26" i="17"/>
  <c r="V6" i="17"/>
  <c r="L35" i="19" a="1"/>
  <c r="AN116" i="17" a="1"/>
  <c r="AM19" i="17" a="1"/>
  <c r="L19" i="19" a="1"/>
  <c r="W22" i="17"/>
  <c r="AP102" i="17" a="1"/>
  <c r="AK144" i="17" a="1"/>
  <c r="W24" i="17"/>
  <c r="AN96" i="17" a="1"/>
  <c r="AN124" i="17" a="1"/>
  <c r="AQ161" i="17" a="1"/>
  <c r="AQ154" i="17" a="1"/>
  <c r="AL44" i="17" a="1"/>
  <c r="AO184" i="17" a="1"/>
  <c r="L8" i="19" a="1"/>
  <c r="AK33" i="17" a="1"/>
  <c r="AL24" i="17" a="1"/>
  <c r="AQ165" i="17" a="1"/>
  <c r="AS94" i="17" a="1"/>
  <c r="AR193" i="17" a="1"/>
  <c r="AS88" i="17" a="1"/>
  <c r="AM137" i="17" a="1"/>
  <c r="AK173" i="17" a="1"/>
  <c r="AN183" i="17" a="1"/>
  <c r="AP180" i="17" a="1"/>
  <c r="AK191" i="17" a="1"/>
  <c r="AS67" i="17" a="1"/>
  <c r="AL158" i="17" a="1"/>
  <c r="AN191" i="17" a="1"/>
  <c r="U11" i="17"/>
  <c r="AK133" i="17" a="1"/>
  <c r="AM143" i="17" a="1"/>
  <c r="AN178" i="17" a="1"/>
  <c r="AO154" i="17" a="1"/>
  <c r="AT107" i="17" a="1"/>
  <c r="AN135" i="17" a="1"/>
  <c r="AR150" i="17" a="1"/>
  <c r="L41" i="19" a="1"/>
  <c r="AL82" i="17" a="1"/>
  <c r="AS54" i="17" a="1"/>
  <c r="AK106" i="17" a="1"/>
  <c r="AL77" i="17" a="1"/>
  <c r="AN43" i="17" a="1"/>
  <c r="X25" i="17"/>
  <c r="AR130" i="17" a="1"/>
  <c r="AT138" i="17" a="1"/>
  <c r="AN123" i="17" a="1"/>
  <c r="AS116" i="17" a="1"/>
  <c r="U13" i="17"/>
  <c r="AB29" i="17"/>
  <c r="AK72" i="17" a="1"/>
  <c r="Y25" i="17"/>
  <c r="AN173" i="17" a="1"/>
  <c r="AP71" i="17" a="1"/>
  <c r="AT140" i="17" a="1"/>
  <c r="AN158" i="17" a="1"/>
  <c r="AQ75" i="17" a="1"/>
  <c r="AK78" i="17" a="1"/>
  <c r="AS113" i="17" a="1"/>
  <c r="AN163" i="17" a="1"/>
  <c r="AM148" i="17" a="1"/>
  <c r="AR12" i="17" a="1"/>
  <c r="AR140" i="17" a="1"/>
  <c r="AK166" i="17" a="1"/>
  <c r="AT179" i="17" a="1"/>
  <c r="AQ39" i="17" a="1"/>
  <c r="AR138" i="17" a="1"/>
  <c r="AM165" i="17" a="1"/>
  <c r="AQ157" i="17" a="1"/>
  <c r="AO46" i="17" a="1"/>
  <c r="U9" i="17"/>
  <c r="AT109" i="17" a="1"/>
  <c r="AS9" i="17" a="1"/>
  <c r="AN57" i="17" a="1"/>
  <c r="AS87" i="17" a="1"/>
  <c r="U20" i="17"/>
  <c r="AT178" i="17" a="1"/>
  <c r="AR37" i="17" a="1"/>
  <c r="AK59" i="17" a="1"/>
  <c r="AQ128" i="17" a="1"/>
  <c r="AR15" i="17" a="1"/>
  <c r="AK35" i="17" a="1"/>
  <c r="AQ18" i="17" a="1"/>
  <c r="AO33" i="17" a="1"/>
  <c r="AK68" i="17" a="1"/>
  <c r="AM17" i="17" a="1"/>
  <c r="Z19" i="17"/>
  <c r="AB13" i="17"/>
  <c r="AS161" i="17" a="1"/>
  <c r="X26" i="17"/>
  <c r="W11" i="17"/>
  <c r="L20" i="19" a="1"/>
  <c r="AS105" i="17" a="1"/>
  <c r="L17" i="19" a="1"/>
  <c r="AR186" i="17" a="1"/>
  <c r="AR105" i="17" a="1"/>
  <c r="L36" i="19" a="1"/>
  <c r="AN187" i="17" a="1"/>
  <c r="AK108" i="17" a="1"/>
  <c r="U29" i="17"/>
  <c r="AE28" i="17"/>
  <c r="AM50" i="17" a="1"/>
  <c r="AS122" i="17" a="1"/>
  <c r="AK39" i="17" a="1"/>
  <c r="L14" i="19" a="1"/>
  <c r="AQ84" i="17" a="1"/>
  <c r="AT36" i="17" a="1"/>
  <c r="AT70" i="17" a="1"/>
  <c r="AP171" i="17" a="1"/>
  <c r="AP155" i="17" a="1"/>
  <c r="AN137" i="17" a="1"/>
  <c r="AT144" i="17" a="1"/>
  <c r="AP66" i="17" a="1"/>
  <c r="AQ151" i="17" a="1"/>
  <c r="AN36" i="17" a="1"/>
  <c r="AS135" i="17" a="1"/>
  <c r="L7" i="19" a="1"/>
  <c r="W7" i="17"/>
  <c r="AT126" i="17" a="1"/>
  <c r="AO148" i="17" a="1"/>
  <c r="AM150" i="17" a="1"/>
  <c r="AT33" i="17" a="1"/>
  <c r="AM79" i="17" a="1"/>
  <c r="AN42" i="17" a="1"/>
  <c r="AB15" i="17"/>
  <c r="AR29" i="17" a="1"/>
  <c r="AM184" i="17" a="1"/>
  <c r="AK171" i="17" a="1"/>
  <c r="AS80" i="17" a="1"/>
  <c r="AK159" i="17" a="1"/>
  <c r="AT175" i="17" a="1"/>
  <c r="AK37" i="17" a="1"/>
  <c r="AP183" i="17" a="1"/>
  <c r="AO78" i="17" a="1"/>
  <c r="AK58" i="17" a="1"/>
  <c r="AE18" i="17"/>
  <c r="AK172" i="17" a="1"/>
  <c r="AS17" i="17" a="1"/>
  <c r="AE11" i="17"/>
  <c r="AP50" i="17" a="1"/>
  <c r="AN93" i="17" a="1"/>
  <c r="AQ40" i="17" a="1"/>
  <c r="AK8" i="17" a="1"/>
  <c r="AL120" i="17" a="1"/>
  <c r="U16" i="17"/>
  <c r="AR57" i="17" a="1"/>
  <c r="AP10" i="17" a="1"/>
  <c r="U10" i="17"/>
  <c r="AO45" i="17" a="1"/>
  <c r="AP137" i="17" a="1"/>
  <c r="AT115" i="17" a="1"/>
  <c r="X20" i="17"/>
  <c r="V17" i="17"/>
  <c r="AS39" i="17" a="1"/>
  <c r="AM78" i="17" a="1"/>
  <c r="AQ175" i="17" a="1"/>
  <c r="AL106" i="17" a="1"/>
  <c r="AR179" i="17" a="1"/>
  <c r="AR23" i="17" a="1"/>
  <c r="AT95" i="17" a="1"/>
  <c r="L47" i="19" a="1"/>
  <c r="AO39" i="17" a="1"/>
  <c r="L18" i="19" a="1"/>
  <c r="AB25" i="17"/>
  <c r="L24" i="19" a="1"/>
  <c r="L33" i="19" l="1"/>
  <c r="L31" i="19"/>
  <c r="L21" i="19"/>
  <c r="L16" i="19"/>
  <c r="L10" i="19"/>
  <c r="L40" i="19"/>
  <c r="L13" i="19"/>
  <c r="L28" i="19"/>
  <c r="L48" i="19"/>
  <c r="L25" i="19"/>
  <c r="L19" i="19"/>
  <c r="L22" i="19"/>
  <c r="L47" i="19"/>
  <c r="L20" i="19"/>
  <c r="L46" i="19"/>
  <c r="L27" i="19"/>
  <c r="L34" i="19"/>
  <c r="L45" i="19"/>
  <c r="L11" i="19"/>
  <c r="L44" i="19"/>
  <c r="L7" i="19"/>
  <c r="L36" i="19"/>
  <c r="L43" i="19"/>
  <c r="L41" i="19"/>
  <c r="L9" i="19"/>
  <c r="L24" i="19"/>
  <c r="L37" i="19"/>
  <c r="L17" i="19"/>
  <c r="L26" i="19"/>
  <c r="L32" i="19"/>
  <c r="L23" i="19"/>
  <c r="L15" i="19"/>
  <c r="L29" i="19"/>
  <c r="L39" i="19"/>
  <c r="L42" i="19"/>
  <c r="L30" i="19"/>
  <c r="L38" i="19"/>
  <c r="L35" i="19"/>
  <c r="L14" i="19"/>
  <c r="L8" i="19"/>
  <c r="L18" i="19"/>
  <c r="L12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M21" i="19" a="1"/>
  <c r="M30" i="19" a="1"/>
  <c r="M18" i="19" a="1"/>
  <c r="M47" i="19" a="1"/>
  <c r="M31" i="19" a="1"/>
  <c r="M7" i="19" a="1"/>
  <c r="M37" i="19" a="1"/>
  <c r="M25" i="19" a="1"/>
  <c r="M24" i="19" a="1"/>
  <c r="M14" i="19" a="1"/>
  <c r="M36" i="19" a="1"/>
  <c r="M38" i="19" a="1"/>
  <c r="M42" i="19" a="1"/>
  <c r="M40" i="19" a="1"/>
  <c r="M29" i="19" a="1"/>
  <c r="M23" i="19" a="1"/>
  <c r="M44" i="19" a="1"/>
  <c r="M33" i="19" a="1"/>
  <c r="M43" i="19" a="1"/>
  <c r="M8" i="19" a="1"/>
  <c r="M10" i="19" a="1"/>
  <c r="M45" i="19" a="1"/>
  <c r="M34" i="19" a="1"/>
  <c r="M41" i="19" a="1"/>
  <c r="M28" i="19" a="1"/>
  <c r="M39" i="19" a="1"/>
  <c r="M9" i="19" a="1"/>
  <c r="M35" i="19" a="1"/>
  <c r="M16" i="19" a="1"/>
  <c r="M17" i="19" a="1"/>
  <c r="M32" i="19" a="1"/>
  <c r="M15" i="19" a="1"/>
  <c r="M12" i="19" a="1"/>
  <c r="M20" i="19" a="1"/>
  <c r="M11" i="19" a="1"/>
  <c r="M48" i="19" a="1"/>
  <c r="M22" i="19" a="1"/>
  <c r="M27" i="19" a="1"/>
  <c r="M13" i="19" a="1"/>
  <c r="M19" i="19" a="1"/>
  <c r="M26" i="19" a="1"/>
  <c r="M46" i="19" a="1"/>
  <c r="M22" i="19" l="1"/>
  <c r="M27" i="19"/>
  <c r="M23" i="19"/>
  <c r="M46" i="19"/>
  <c r="M15" i="19"/>
  <c r="M32" i="19"/>
  <c r="M20" i="19"/>
  <c r="M9" i="19"/>
  <c r="M48" i="19"/>
  <c r="M24" i="19"/>
  <c r="M28" i="19"/>
  <c r="M43" i="19"/>
  <c r="M13" i="19"/>
  <c r="M47" i="19"/>
  <c r="M19" i="19"/>
  <c r="M41" i="19"/>
  <c r="M36" i="19"/>
  <c r="M40" i="19"/>
  <c r="M26" i="19"/>
  <c r="M37" i="19"/>
  <c r="M38" i="19"/>
  <c r="M7" i="19"/>
  <c r="M10" i="19"/>
  <c r="M30" i="19"/>
  <c r="M44" i="19"/>
  <c r="M16" i="19"/>
  <c r="M42" i="19"/>
  <c r="M11" i="19"/>
  <c r="M21" i="19"/>
  <c r="M39" i="19"/>
  <c r="M45" i="19"/>
  <c r="M31" i="19"/>
  <c r="M17" i="19"/>
  <c r="M25" i="19"/>
  <c r="M29" i="19"/>
  <c r="M34" i="19"/>
  <c r="M33" i="19"/>
  <c r="M18" i="19"/>
  <c r="M8" i="19"/>
  <c r="M14" i="19"/>
  <c r="M12" i="19"/>
  <c r="M35" i="19"/>
  <c r="N36" i="19" a="1"/>
  <c r="N29" i="19" a="1"/>
  <c r="N15" i="19" a="1"/>
  <c r="N40" i="19" a="1"/>
  <c r="N24" i="19" a="1"/>
  <c r="N26" i="19" a="1"/>
  <c r="N27" i="19" a="1"/>
  <c r="N8" i="19" a="1"/>
  <c r="N9" i="19" a="1"/>
  <c r="N16" i="19" a="1"/>
  <c r="N21" i="19" a="1"/>
  <c r="N33" i="19" a="1"/>
  <c r="N20" i="19" a="1"/>
  <c r="N17" i="19" a="1"/>
  <c r="N25" i="19" a="1"/>
  <c r="N44" i="19" a="1"/>
  <c r="N18" i="19" a="1"/>
  <c r="N34" i="19" a="1"/>
  <c r="N30" i="19" a="1"/>
  <c r="N35" i="19" a="1"/>
  <c r="N22" i="19" a="1"/>
  <c r="N19" i="19" a="1"/>
  <c r="N23" i="19" a="1"/>
  <c r="N46" i="19" a="1"/>
  <c r="N37" i="19" a="1"/>
  <c r="N38" i="19" a="1"/>
  <c r="N7" i="19" a="1"/>
  <c r="N10" i="19" a="1"/>
  <c r="N48" i="19" a="1"/>
  <c r="N42" i="19" a="1"/>
  <c r="N13" i="19" a="1"/>
  <c r="N45" i="19" a="1"/>
  <c r="N32" i="19" a="1"/>
  <c r="N12" i="19" a="1"/>
  <c r="N28" i="19" a="1"/>
  <c r="N11" i="19" a="1"/>
  <c r="N39" i="19" a="1"/>
  <c r="N31" i="19" a="1"/>
  <c r="N14" i="19" a="1"/>
  <c r="N43" i="19" a="1"/>
  <c r="N47" i="19" a="1"/>
  <c r="N41" i="19" a="1"/>
  <c r="N45" i="19" l="1"/>
  <c r="N39" i="19"/>
  <c r="N11" i="19"/>
  <c r="N24" i="19"/>
  <c r="N31" i="19"/>
  <c r="N19" i="19"/>
  <c r="N21" i="19"/>
  <c r="N28" i="19"/>
  <c r="N48" i="19"/>
  <c r="N9" i="19"/>
  <c r="N10" i="19"/>
  <c r="N20" i="19"/>
  <c r="N7" i="19"/>
  <c r="N32" i="19"/>
  <c r="N43" i="19"/>
  <c r="N15" i="19"/>
  <c r="N42" i="19"/>
  <c r="N33" i="19"/>
  <c r="N41" i="19"/>
  <c r="N47" i="19"/>
  <c r="N13" i="19"/>
  <c r="N16" i="19"/>
  <c r="N44" i="19"/>
  <c r="N30" i="19"/>
  <c r="N38" i="19"/>
  <c r="N34" i="19"/>
  <c r="N37" i="19"/>
  <c r="N46" i="19"/>
  <c r="N29" i="19"/>
  <c r="N26" i="19"/>
  <c r="N23" i="19"/>
  <c r="N25" i="19"/>
  <c r="N40" i="19"/>
  <c r="N27" i="19"/>
  <c r="N17" i="19"/>
  <c r="N36" i="19"/>
  <c r="N22" i="19"/>
  <c r="N12" i="19"/>
  <c r="N35" i="19"/>
  <c r="N14" i="19"/>
  <c r="N8" i="19"/>
  <c r="N18" i="19"/>
  <c r="O27" i="19" a="1"/>
  <c r="O28" i="19" a="1"/>
  <c r="O13" i="19" a="1"/>
  <c r="O39" i="19" a="1"/>
  <c r="O41" i="19" a="1"/>
  <c r="O19" i="19" a="1"/>
  <c r="O11" i="19" a="1"/>
  <c r="O44" i="19" a="1"/>
  <c r="O14" i="19" a="1"/>
  <c r="O22" i="19" a="1"/>
  <c r="O30" i="19" a="1"/>
  <c r="O37" i="19" a="1"/>
  <c r="O33" i="19" a="1"/>
  <c r="O42" i="19" a="1"/>
  <c r="O31" i="19" a="1"/>
  <c r="O12" i="19" a="1"/>
  <c r="O48" i="19" a="1"/>
  <c r="O10" i="19" a="1"/>
  <c r="O47" i="19" a="1"/>
  <c r="O45" i="19" a="1"/>
  <c r="O35" i="19" a="1"/>
  <c r="O8" i="19" a="1"/>
  <c r="O40" i="19" a="1"/>
  <c r="O17" i="19" a="1"/>
  <c r="O24" i="19" a="1"/>
  <c r="O36" i="19" a="1"/>
  <c r="O16" i="19" a="1"/>
  <c r="O38" i="19" a="1"/>
  <c r="O34" i="19" a="1"/>
  <c r="O20" i="19" a="1"/>
  <c r="O29" i="19" a="1"/>
  <c r="O43" i="19" a="1"/>
  <c r="O25" i="19" a="1"/>
  <c r="O21" i="19" a="1"/>
  <c r="O18" i="19" a="1"/>
  <c r="O7" i="19" a="1"/>
  <c r="O26" i="19" a="1"/>
  <c r="O23" i="19" a="1"/>
  <c r="O9" i="19" a="1"/>
  <c r="O46" i="19" a="1"/>
  <c r="O32" i="19" a="1"/>
  <c r="O15" i="19" a="1"/>
  <c r="O7" i="19" l="1"/>
  <c r="O37" i="19"/>
  <c r="O15" i="19"/>
  <c r="O32" i="19"/>
  <c r="O20" i="19"/>
  <c r="O34" i="19"/>
  <c r="O28" i="19"/>
  <c r="O44" i="19"/>
  <c r="O21" i="19"/>
  <c r="O16" i="19"/>
  <c r="O19" i="19"/>
  <c r="O23" i="19"/>
  <c r="O47" i="19"/>
  <c r="O24" i="19"/>
  <c r="O43" i="19"/>
  <c r="O29" i="19"/>
  <c r="O10" i="19"/>
  <c r="O38" i="19"/>
  <c r="O30" i="19"/>
  <c r="O22" i="19"/>
  <c r="O13" i="19"/>
  <c r="O36" i="19"/>
  <c r="O17" i="19"/>
  <c r="O41" i="19"/>
  <c r="O11" i="19"/>
  <c r="O48" i="19"/>
  <c r="O27" i="19"/>
  <c r="O33" i="19"/>
  <c r="O39" i="19"/>
  <c r="O25" i="19"/>
  <c r="O26" i="19"/>
  <c r="O46" i="19"/>
  <c r="O9" i="19"/>
  <c r="O31" i="19"/>
  <c r="O40" i="19"/>
  <c r="O42" i="19"/>
  <c r="O45" i="19"/>
  <c r="O14" i="19"/>
  <c r="O35" i="19"/>
  <c r="O12" i="19"/>
  <c r="O8" i="19"/>
  <c r="O18" i="19"/>
  <c r="P7" i="19" a="1"/>
  <c r="P38" i="19" a="1"/>
  <c r="P8" i="19" a="1"/>
  <c r="P40" i="19" a="1"/>
  <c r="P34" i="19" a="1"/>
  <c r="P17" i="19" a="1"/>
  <c r="P48" i="19" a="1"/>
  <c r="P9" i="19" a="1"/>
  <c r="P37" i="19" a="1"/>
  <c r="P30" i="19" a="1"/>
  <c r="P14" i="19" a="1"/>
  <c r="P44" i="19" a="1"/>
  <c r="P22" i="19" a="1"/>
  <c r="P13" i="19" a="1"/>
  <c r="P11" i="19" a="1"/>
  <c r="P28" i="19" a="1"/>
  <c r="P23" i="19" a="1"/>
  <c r="P15" i="19" a="1"/>
  <c r="P36" i="19" a="1"/>
  <c r="P20" i="19" a="1"/>
  <c r="P35" i="19" a="1"/>
  <c r="P45" i="19" a="1"/>
  <c r="P10" i="19" a="1"/>
  <c r="P33" i="19" a="1"/>
  <c r="P29" i="19" a="1"/>
  <c r="P16" i="19" a="1"/>
  <c r="P31" i="19" a="1"/>
  <c r="P32" i="19" a="1"/>
  <c r="P42" i="19" a="1"/>
  <c r="P41" i="19" a="1"/>
  <c r="P18" i="19" a="1"/>
  <c r="P27" i="19" a="1"/>
  <c r="P39" i="19" a="1"/>
  <c r="P43" i="19" a="1"/>
  <c r="P12" i="19" a="1"/>
  <c r="P19" i="19" a="1"/>
  <c r="P24" i="19" a="1"/>
  <c r="P26" i="19" a="1"/>
  <c r="P21" i="19" a="1"/>
  <c r="P47" i="19" a="1"/>
  <c r="P25" i="19" a="1"/>
  <c r="P46" i="19" a="1"/>
  <c r="P26" i="19" l="1"/>
  <c r="E26" i="19" s="1"/>
  <c r="P24" i="19"/>
  <c r="E24" i="19" s="1"/>
  <c r="P23" i="19"/>
  <c r="E23" i="19" s="1"/>
  <c r="P16" i="19"/>
  <c r="E16" i="19" s="1"/>
  <c r="P28" i="19"/>
  <c r="E28" i="19" s="1"/>
  <c r="P46" i="19"/>
  <c r="E46" i="19" s="1"/>
  <c r="P43" i="19"/>
  <c r="E43" i="19" s="1"/>
  <c r="P39" i="19"/>
  <c r="E39" i="19" s="1"/>
  <c r="P33" i="19"/>
  <c r="E33" i="19" s="1"/>
  <c r="P48" i="19"/>
  <c r="E48" i="19" s="1"/>
  <c r="P44" i="19"/>
  <c r="E44" i="19" s="1"/>
  <c r="P36" i="19"/>
  <c r="E36" i="19" s="1"/>
  <c r="P34" i="19"/>
  <c r="E34" i="19" s="1"/>
  <c r="P11" i="19"/>
  <c r="E11" i="19" s="1"/>
  <c r="P27" i="19"/>
  <c r="E27" i="19" s="1"/>
  <c r="P29" i="19"/>
  <c r="E29" i="19" s="1"/>
  <c r="P25" i="19"/>
  <c r="E25" i="19" s="1"/>
  <c r="P47" i="19"/>
  <c r="E47" i="19" s="1"/>
  <c r="P19" i="19"/>
  <c r="E19" i="19" s="1"/>
  <c r="P21" i="19"/>
  <c r="E21" i="19" s="1"/>
  <c r="P41" i="19"/>
  <c r="E41" i="19" s="1"/>
  <c r="P17" i="19"/>
  <c r="E17" i="19" s="1"/>
  <c r="P45" i="19"/>
  <c r="E45" i="19" s="1"/>
  <c r="P13" i="19"/>
  <c r="E13" i="19" s="1"/>
  <c r="P20" i="19"/>
  <c r="E20" i="19" s="1"/>
  <c r="P42" i="19"/>
  <c r="E42" i="19" s="1"/>
  <c r="P22" i="19"/>
  <c r="E22" i="19" s="1"/>
  <c r="P32" i="19"/>
  <c r="E32" i="19" s="1"/>
  <c r="P40" i="19"/>
  <c r="E40" i="19" s="1"/>
  <c r="P30" i="19"/>
  <c r="E30" i="19" s="1"/>
  <c r="P15" i="19"/>
  <c r="E15" i="19" s="1"/>
  <c r="P31" i="19"/>
  <c r="E31" i="19" s="1"/>
  <c r="P38" i="19"/>
  <c r="E38" i="19" s="1"/>
  <c r="P37" i="19"/>
  <c r="E37" i="19" s="1"/>
  <c r="P9" i="19"/>
  <c r="E9" i="19" s="1"/>
  <c r="P10" i="19"/>
  <c r="E10" i="19" s="1"/>
  <c r="P7" i="19"/>
  <c r="E7" i="19" s="1"/>
  <c r="P35" i="19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<sst xmlns="http://schemas.openxmlformats.org/spreadsheetml/2006/main" count="490" uniqueCount="205">
  <si>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</si>
  <si>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</si>
  <si>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</si>
  <si>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</si>
  <si>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</si>
  <si>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</si>
  <si>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</si>
  <si>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</si>
  <si>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</si>
  <si>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</si>
  <si>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</si>
  <si>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</si>
  <si>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</si>
  <si>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</si>
  <si>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</si>
  <si>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</si>
  <si>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</si>
  <si>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</si>
  <si>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</si>
  <si>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</si>
  <si>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</si>
  <si>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</si>
  <si>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</si>
  <si>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</si>
  <si>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</si>
  <si>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</si>
  <si>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</si>
  <si>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</si>
  <si>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</si>
  <si>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</si>
  <si>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</si>
  <si>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</si>
  <si>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</si>
  <si>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</si>
  <si>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</si>
  <si>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</si>
  <si>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</si>
  <si>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</si>
  <si>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</si>
  <si>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</si>
  <si>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</si>
  <si>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</si>
  <si>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</si>
  <si>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</si>
  <si>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</si>
  <si>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</si>
  <si>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</si>
  <si>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</si>
  <si>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</si>
  <si>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</si>
  <si>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</si>
  <si>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</si>
  <si>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</si>
  <si>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</si>
  <si>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</si>
  <si>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</si>
  <si>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</si>
  <si>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</si>
  <si>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</si>
  <si>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</si>
  <si>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</si>
  <si>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</si>
  <si>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</si>
  <si>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</si>
  <si>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</si>
  <si>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</si>
  <si>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</si>
  <si>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</si>
  <si>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</si>
  <si>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</si>
  <si>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</si>
  <si>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</si>
  <si>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</si>
  <si>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</si>
  <si>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</si>
  <si>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</si>
  <si>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</si>
  <si>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</si>
  <si>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</si>
  <si>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</si>
  <si>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</si>
  <si>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</si>
  <si>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</si>
  <si>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</si>
  <si>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</si>
  <si>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</si>
  <si>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</si>
  <si>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</si>
  <si>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</si>
  <si>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</si>
  <si>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</si>
  <si>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</si>
  <si>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</si>
  <si>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</si>
  <si>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</si>
  <si>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</si>
  <si>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</si>
  <si>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</si>
  <si>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</si>
  <si>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</si>
  <si>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</si>
  <si>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</si>
  <si>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</si>
  <si>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</si>
  <si>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</si>
  <si>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</si>
  <si>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</si>
  <si>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</si>
  <si>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</si>
  <si>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</si>
  <si>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</si>
  <si>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</si>
  <si>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</si>
  <si>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</si>
  <si>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</si>
  <si>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</si>
  <si>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</si>
  <si>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</si>
  <si>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</si>
  <si>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</si>
  <si>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</si>
  <si>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</si>
  <si>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</si>
  <si>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</si>
  <si>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</si>
  <si>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</si>
  <si>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</si>
  <si>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</si>
  <si>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</si>
  <si>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</si>
  <si>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</si>
  <si>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</si>
  <si>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</si>
  <si>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</si>
  <si>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</si>
  <si>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</si>
  <si>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</si>
  <si>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</si>
  <si>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</si>
  <si>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</si>
  <si>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</si>
  <si>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</si>
  <si>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</si>
  <si>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</si>
  <si>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</si>
  <si>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</si>
  <si>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</si>
  <si>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</si>
  <si>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</si>
  <si>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</si>
  <si>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</si>
  <si>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</si>
  <si>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</si>
  <si>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</si>
  <si>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</si>
  <si>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</si>
  <si>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</si>
  <si>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</si>
  <si>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</si>
  <si>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</si>
  <si>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</si>
  <si>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</si>
  <si>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</si>
  <si>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</si>
  <si>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</si>
  <si>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</si>
  <si>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</si>
  <si>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</si>
  <si>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</si>
  <si>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</si>
  <si>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</si>
  <si>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</si>
  <si>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</si>
  <si>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</si>
  <si>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</si>
  <si>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</si>
  <si>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</si>
  <si>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</si>
  <si>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</si>
  <si>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</si>
  <si>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</si>
  <si>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</si>
  <si>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</si>
  <si>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</si>
  <si>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</si>
  <si>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</si>
  <si>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</si>
  <si>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</si>
  <si>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</si>
  <si>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</si>
  <si>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</si>
  <si>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</si>
  <si>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</si>
  <si>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</si>
  <si>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</si>
  <si>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</si>
  <si>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</si>
  <si>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</si>
  <si>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</si>
  <si>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</si>
  <si>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</si>
  <si>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</si>
  <si>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</si>
  <si>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１Ｐ</t>
  </si>
  <si>
    <t>茶Ⅲ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</si>
</sst>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14" fontId="9" fillId="0" borderId="0" xfId="0" applyNumberFormat="1" applyFont="1"/>
    <xf numFmtId="14" fontId="9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9" formatCode="yyyy/m/d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[AssertSuccess_NextToDataContainsExits_ReturnEmpty.xlsm]ツイスト率テーブル!ピボットテーブル5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[AssertSuccess_NextToDataContainsExits_ReturnEmpty.xlsm]IP率テーブル!ピボットテーブル6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2:A792"/>
    <sortCondition ref="B2:B792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zoomScaleNormal="100" workbookViewId="0"/>
  </sheetViews>
  <sheetFormatPr defaultRowHeight="18.75"/>
  <cols>
    <col min="1" max="1" width="11.625" style="1" bestFit="1" customWidth="1"/>
    <col min="2" max="2" width="11" bestFit="1" customWidth="1"/>
    <col min="3" max="3" width="13" bestFit="1" customWidth="1"/>
  </cols>
  <sheetData>
    <row r="1" spans="1:3">
      <c r="A1" s="31" t="s">
        <v>0</v>
      </c>
      <c r="B1" s="27" t="s">
        <v>1</v>
      </c>
      <c r="C1" s="27" t="s">
        <v>2</v>
      </c>
    </row>
    <row r="2" spans="1:3">
      <c r="A2" s="32">
        <v>45250</v>
      </c>
      <c r="B2" s="26" t="s">
        <v>204</v>
      </c>
      <c r="C2" s="26" t="s">
        <v>14</v>
      </c>
    </row>
    <row r="3" spans="1:3">
      <c r="A3" s="32">
        <v>45251</v>
      </c>
      <c r="B3" s="26" t="s">
        <v>204</v>
      </c>
      <c r="C3" s="26" t="s">
        <v>22</v>
      </c>
    </row>
    <row r="4" spans="1:3">
      <c r="A4" s="32">
        <v>45252</v>
      </c>
      <c r="B4" s="26" t="s">
        <v>204</v>
      </c>
      <c r="C4" s="26" t="s">
        <v>28</v>
      </c>
    </row>
    <row r="5" spans="1:3">
      <c r="A5" s="32">
        <v>45253</v>
      </c>
      <c r="B5" s="26" t="s">
        <v>204</v>
      </c>
      <c r="C5" s="26" t="s">
        <v>46</v>
      </c>
    </row>
    <row r="6" spans="1:3">
      <c r="A6" s="32">
        <v>45254</v>
      </c>
      <c r="B6" s="26" t="s">
        <v>41</v>
      </c>
      <c r="C6" s="26" t="s">
        <v>12</v>
      </c>
    </row>
    <row r="7" spans="1:3">
      <c r="A7" s="32">
        <v>45255</v>
      </c>
      <c r="B7" s="26" t="s">
        <v>41</v>
      </c>
      <c r="C7" s="26" t="s">
        <v>49</v>
      </c>
    </row>
    <row r="8" spans="1:3">
      <c r="A8" s="32">
        <v>45256</v>
      </c>
      <c r="B8" s="26" t="s">
        <v>41</v>
      </c>
      <c r="C8" s="26" t="s">
        <v>15</v>
      </c>
    </row>
    <row r="9" spans="1:3">
      <c r="A9" s="32">
        <v>45257</v>
      </c>
      <c r="B9" s="26" t="s">
        <v>41</v>
      </c>
      <c r="C9" s="26" t="s">
        <v>30</v>
      </c>
    </row>
    <row r="10" spans="1:3">
      <c r="A10" s="32">
        <v>45258</v>
      </c>
      <c r="B10" s="26" t="s">
        <v>37</v>
      </c>
      <c r="C10" s="26" t="s">
        <v>42</v>
      </c>
    </row>
    <row r="11" spans="1:3">
      <c r="A11" s="32">
        <v>45259</v>
      </c>
      <c r="B11" s="26" t="s">
        <v>37</v>
      </c>
      <c r="C11" s="26" t="s">
        <v>29</v>
      </c>
    </row>
    <row r="12" spans="1:3">
      <c r="A12" s="32">
        <v>45260</v>
      </c>
      <c r="B12" s="26" t="s">
        <v>37</v>
      </c>
      <c r="C12" s="26" t="s">
        <v>13</v>
      </c>
    </row>
    <row r="13" spans="1:3">
      <c r="A13" s="32">
        <v>45261</v>
      </c>
      <c r="B13" s="26" t="s">
        <v>37</v>
      </c>
      <c r="C13" s="26" t="s">
        <v>35</v>
      </c>
    </row>
    <row r="14" spans="1:3">
      <c r="A14" s="32">
        <v>45262</v>
      </c>
      <c r="B14" s="26" t="s">
        <v>37</v>
      </c>
      <c r="C14" s="26" t="s">
        <v>23</v>
      </c>
    </row>
    <row r="15" spans="1:3">
      <c r="A15" s="32">
        <v>45263</v>
      </c>
      <c r="B15" s="26" t="s">
        <v>24</v>
      </c>
      <c r="C15" s="26" t="s">
        <v>50</v>
      </c>
    </row>
    <row r="16" spans="1:3">
      <c r="A16" s="32">
        <v>45264</v>
      </c>
      <c r="B16" s="26" t="s">
        <v>24</v>
      </c>
      <c r="C16" s="26" t="s">
        <v>20</v>
      </c>
    </row>
    <row r="17" spans="1:3">
      <c r="A17" s="32">
        <v>45265</v>
      </c>
      <c r="B17" s="26" t="s">
        <v>24</v>
      </c>
      <c r="C17" s="26" t="s">
        <v>40</v>
      </c>
    </row>
    <row r="18" spans="1:3">
      <c r="A18" s="32">
        <v>45266</v>
      </c>
      <c r="B18" s="26" t="s">
        <v>24</v>
      </c>
      <c r="C18" s="26" t="s">
        <v>17</v>
      </c>
    </row>
    <row r="19" spans="1:3">
      <c r="A19" s="32">
        <v>45267</v>
      </c>
      <c r="B19" s="26" t="s">
        <v>24</v>
      </c>
      <c r="C19" s="26" t="s">
        <v>34</v>
      </c>
    </row>
    <row r="20" spans="1:3">
      <c r="A20" s="32">
        <v>45268</v>
      </c>
      <c r="B20" s="26" t="s">
        <v>24</v>
      </c>
      <c r="C20" s="26" t="s">
        <v>39</v>
      </c>
    </row>
    <row r="21" spans="1:3">
      <c r="A21" s="32">
        <v>45269</v>
      </c>
      <c r="B21" s="26" t="s">
        <v>24</v>
      </c>
      <c r="C21" s="26" t="s">
        <v>47</v>
      </c>
    </row>
    <row r="22" spans="1:3">
      <c r="A22" s="32">
        <v>45270</v>
      </c>
      <c r="B22" s="26" t="s">
        <v>24</v>
      </c>
      <c r="C22" s="26" t="s">
        <v>21</v>
      </c>
    </row>
    <row r="23" spans="1:3">
      <c r="A23" s="32">
        <v>45271</v>
      </c>
      <c r="B23" s="26" t="s">
        <v>203</v>
      </c>
      <c r="C23" s="26" t="s">
        <v>18</v>
      </c>
    </row>
    <row r="24" spans="1:3">
      <c r="A24" s="32">
        <v>45272</v>
      </c>
      <c r="B24" s="26" t="s">
        <v>203</v>
      </c>
      <c r="C24" s="26" t="s">
        <v>33</v>
      </c>
    </row>
    <row r="25" spans="1:3">
      <c r="A25" s="32">
        <v>45273</v>
      </c>
      <c r="B25" s="26" t="s">
        <v>203</v>
      </c>
      <c r="C25" s="26" t="s">
        <v>62</v>
      </c>
    </row>
    <row r="26" spans="1:3">
      <c r="A26" s="32">
        <v>45274</v>
      </c>
      <c r="B26" s="26" t="s">
        <v>203</v>
      </c>
      <c r="C26" s="26" t="s">
        <v>31</v>
      </c>
    </row>
    <row r="27" spans="1:3">
      <c r="A27" s="32">
        <v>45275</v>
      </c>
      <c r="B27" s="26" t="s">
        <v>203</v>
      </c>
      <c r="C27" s="26" t="s">
        <v>26</v>
      </c>
    </row>
    <row r="28" spans="1:3">
      <c r="A28" s="32">
        <v>45276</v>
      </c>
      <c r="B28" s="26" t="s">
        <v>203</v>
      </c>
      <c r="C28" s="26" t="s">
        <v>25</v>
      </c>
    </row>
    <row r="29" spans="1:3">
      <c r="A29" s="32">
        <v>45277</v>
      </c>
      <c r="B29" s="26" t="s">
        <v>203</v>
      </c>
      <c r="C29" s="26" t="s">
        <v>36</v>
      </c>
    </row>
    <row r="30" spans="1:3">
      <c r="A30" s="32">
        <v>45278</v>
      </c>
      <c r="B30" s="26" t="s">
        <v>11</v>
      </c>
      <c r="C30" s="26" t="s">
        <v>44</v>
      </c>
    </row>
    <row r="31" spans="1:3">
      <c r="A31" s="32">
        <v>45279</v>
      </c>
      <c r="B31" s="26" t="s">
        <v>11</v>
      </c>
      <c r="C31" s="26" t="s">
        <v>16</v>
      </c>
    </row>
    <row r="32" spans="1:3">
      <c r="A32" s="32">
        <v>45280</v>
      </c>
      <c r="B32" s="26" t="s">
        <v>11</v>
      </c>
      <c r="C32" s="26" t="s">
        <v>52</v>
      </c>
    </row>
    <row r="33" spans="1:3">
      <c r="A33" s="32">
        <v>45281</v>
      </c>
      <c r="B33" s="26" t="s">
        <v>11</v>
      </c>
      <c r="C33" s="26" t="s">
        <v>51</v>
      </c>
    </row>
    <row r="34" spans="1:3">
      <c r="A34" s="32">
        <v>45282</v>
      </c>
      <c r="B34" s="26" t="s">
        <v>11</v>
      </c>
      <c r="C34" s="26" t="s">
        <v>38</v>
      </c>
    </row>
    <row r="35" spans="1:3">
      <c r="A35" s="32">
        <v>45283</v>
      </c>
      <c r="B35" s="26" t="s">
        <v>11</v>
      </c>
      <c r="C35" s="26" t="s">
        <v>43</v>
      </c>
    </row>
    <row r="36" spans="1:3">
      <c r="A36" s="32">
        <v>45284</v>
      </c>
      <c r="B36" s="26" t="s">
        <v>11</v>
      </c>
      <c r="C36" s="26" t="s">
        <v>27</v>
      </c>
    </row>
    <row r="37" spans="1:3">
      <c r="A37" s="32">
        <v>45285</v>
      </c>
      <c r="B37" s="26" t="s">
        <v>204</v>
      </c>
      <c r="C37" s="26" t="s">
        <v>48</v>
      </c>
    </row>
    <row r="38" spans="1:3">
      <c r="A38" s="32"/>
      <c r="B38" s="26"/>
      <c r="C38" s="26"/>
    </row>
    <row r="39" spans="1:3">
      <c r="A39" s="32"/>
      <c r="B39" s="26"/>
      <c r="C39" s="26"/>
    </row>
    <row r="40" spans="1:3">
      <c r="A40" s="32"/>
      <c r="B40" s="26"/>
      <c r="C40" s="26"/>
    </row>
    <row r="41" spans="1:3">
      <c r="A41" s="32"/>
      <c r="B41" s="26"/>
      <c r="C41" s="26"/>
    </row>
    <row r="42" spans="1:3">
      <c r="A42" s="32"/>
      <c r="B42" s="26"/>
      <c r="C42" s="26"/>
    </row>
    <row r="43" spans="1:3">
      <c r="A43" s="32"/>
      <c r="B43" s="26"/>
      <c r="C43" s="26"/>
    </row>
    <row r="44" spans="1:3">
      <c r="A44" s="32"/>
      <c r="B44" s="26"/>
      <c r="C44" s="26"/>
    </row>
    <row r="45" spans="1:3">
      <c r="A45" s="32"/>
      <c r="B45" s="26"/>
      <c r="C45" s="26"/>
    </row>
    <row r="46" spans="1:3">
      <c r="A46" s="32"/>
      <c r="B46" s="26"/>
      <c r="C46" s="26"/>
    </row>
    <row r="47" spans="1:3">
      <c r="A47" s="32"/>
      <c r="B47" s="26"/>
      <c r="C47" s="26"/>
    </row>
    <row r="48" spans="1:3">
      <c r="A48" s="32"/>
      <c r="B48" s="26"/>
      <c r="C48" s="26"/>
    </row>
    <row r="49" spans="1:3">
      <c r="A49" s="32"/>
      <c r="B49" s="26"/>
      <c r="C49" s="26"/>
    </row>
    <row r="50" spans="1:3">
      <c r="A50" s="32"/>
      <c r="B50" s="26"/>
      <c r="C50" s="26"/>
    </row>
    <row r="51" spans="1:3">
      <c r="A51" s="32"/>
      <c r="B51" s="26"/>
      <c r="C51" s="26"/>
    </row>
    <row r="52" spans="1:3">
      <c r="A52" s="32"/>
      <c r="B52" s="26"/>
      <c r="C52" s="26"/>
    </row>
    <row r="53" spans="1:3">
      <c r="A53" s="32"/>
      <c r="B53" s="26"/>
      <c r="C53" s="26"/>
    </row>
    <row r="54" spans="1:3">
      <c r="A54" s="32"/>
      <c r="B54" s="26"/>
      <c r="C54" s="26"/>
    </row>
    <row r="55" spans="1:3">
      <c r="A55" s="32"/>
      <c r="B55" s="26"/>
      <c r="C55" s="26"/>
    </row>
    <row r="56" spans="1:3">
      <c r="A56" s="32"/>
      <c r="B56" s="26"/>
      <c r="C56" s="26"/>
    </row>
    <row r="57" spans="1:3">
      <c r="A57" s="32"/>
      <c r="B57" s="26"/>
      <c r="C57" s="26"/>
    </row>
    <row r="58" spans="1:3">
      <c r="A58" s="32"/>
      <c r="B58" s="26"/>
      <c r="C58" s="26"/>
    </row>
    <row r="59" spans="1:3">
      <c r="A59" s="32"/>
      <c r="B59" s="26"/>
      <c r="C59" s="26"/>
    </row>
    <row r="60" spans="1:3">
      <c r="A60" s="32"/>
      <c r="B60" s="26"/>
      <c r="C60" s="26"/>
    </row>
    <row r="61" spans="1:3">
      <c r="A61" s="32"/>
      <c r="B61" s="26"/>
      <c r="C61" s="26"/>
    </row>
    <row r="62" spans="1:3">
      <c r="A62" s="32"/>
      <c r="B62" s="26"/>
      <c r="C62" s="26"/>
    </row>
    <row r="63" spans="1:3">
      <c r="A63" s="32"/>
      <c r="B63" s="26"/>
      <c r="C63" s="26"/>
    </row>
    <row r="64" spans="1:3">
      <c r="A64" s="32"/>
      <c r="B64" s="26"/>
      <c r="C64" s="26"/>
    </row>
    <row r="65" spans="1:3">
      <c r="A65" s="32"/>
      <c r="B65" s="26"/>
      <c r="C65" s="26"/>
    </row>
    <row r="66" spans="1:3">
      <c r="A66" s="32"/>
      <c r="B66" s="26"/>
      <c r="C66" s="26"/>
    </row>
    <row r="67" spans="1:3">
      <c r="A67" s="32"/>
      <c r="B67" s="26"/>
      <c r="C67" s="26"/>
    </row>
    <row r="68" spans="1:3">
      <c r="A68" s="32"/>
      <c r="B68" s="26"/>
      <c r="C68" s="26"/>
    </row>
    <row r="69" spans="1:3">
      <c r="A69" s="32"/>
      <c r="B69" s="26"/>
      <c r="C69" s="26"/>
    </row>
    <row r="70" spans="1:3">
      <c r="A70" s="32"/>
      <c r="B70" s="26"/>
      <c r="C70" s="26"/>
    </row>
    <row r="71" spans="1:3">
      <c r="A71" s="32"/>
      <c r="B71" s="26"/>
      <c r="C71" s="26"/>
    </row>
    <row r="72" spans="1:3">
      <c r="A72" s="32"/>
      <c r="B72" s="26"/>
      <c r="C72" s="26"/>
    </row>
    <row r="73" spans="1:3">
      <c r="A73" s="32"/>
      <c r="B73" s="26"/>
      <c r="C73" s="26"/>
    </row>
    <row r="74" spans="1:3">
      <c r="A74" s="32"/>
      <c r="B74" s="26"/>
      <c r="C74" s="26"/>
    </row>
    <row r="75" spans="1:3">
      <c r="A75" s="32"/>
      <c r="B75" s="26"/>
      <c r="C75" s="26"/>
    </row>
    <row r="76" spans="1:3">
      <c r="A76" s="32"/>
      <c r="B76" s="26"/>
      <c r="C76" s="26"/>
    </row>
    <row r="77" spans="1:3">
      <c r="A77" s="32"/>
      <c r="B77" s="26"/>
      <c r="C77" s="26"/>
    </row>
    <row r="78" spans="1:3">
      <c r="A78" s="32"/>
      <c r="B78" s="26"/>
      <c r="C78" s="26"/>
    </row>
    <row r="79" spans="1:3">
      <c r="A79" s="32"/>
      <c r="B79" s="26"/>
      <c r="C79" s="26"/>
    </row>
    <row r="80" spans="1:3">
      <c r="A80" s="32"/>
      <c r="B80" s="26"/>
      <c r="C80" s="26"/>
    </row>
    <row r="81" spans="1:3">
      <c r="A81" s="32"/>
      <c r="B81" s="26"/>
      <c r="C81" s="26"/>
    </row>
    <row r="82" spans="1:3">
      <c r="A82" s="32"/>
      <c r="B82" s="26"/>
      <c r="C82" s="26"/>
    </row>
    <row r="83" spans="1:3">
      <c r="A83" s="32"/>
      <c r="B83" s="26"/>
      <c r="C83" s="26"/>
    </row>
    <row r="84" spans="1:3">
      <c r="A84" s="32"/>
      <c r="B84" s="26"/>
      <c r="C84" s="26"/>
    </row>
    <row r="85" spans="1:3">
      <c r="A85" s="32"/>
      <c r="B85" s="26"/>
      <c r="C85" s="26"/>
    </row>
    <row r="86" spans="1:3">
      <c r="A86" s="32"/>
      <c r="B86" s="26"/>
      <c r="C86" s="26"/>
    </row>
    <row r="87" spans="1:3">
      <c r="A87" s="32"/>
      <c r="B87" s="26"/>
      <c r="C87" s="26"/>
    </row>
    <row r="88" spans="1:3">
      <c r="A88" s="32"/>
      <c r="B88" s="26"/>
      <c r="C88" s="26"/>
    </row>
    <row r="89" spans="1:3">
      <c r="A89" s="32"/>
      <c r="B89" s="26"/>
      <c r="C89" s="26"/>
    </row>
    <row r="90" spans="1:3">
      <c r="A90" s="32"/>
      <c r="B90" s="26"/>
      <c r="C90" s="26"/>
    </row>
    <row r="91" spans="1:3">
      <c r="A91" s="32"/>
      <c r="B91" s="26"/>
      <c r="C91" s="26"/>
    </row>
    <row r="92" spans="1:3">
      <c r="A92" s="32"/>
      <c r="B92" s="26"/>
      <c r="C92" s="26"/>
    </row>
    <row r="93" spans="1:3">
      <c r="A93" s="32"/>
      <c r="B93" s="26"/>
      <c r="C93" s="26"/>
    </row>
    <row r="94" spans="1:3">
      <c r="A94" s="32"/>
      <c r="B94" s="26"/>
      <c r="C94" s="26"/>
    </row>
    <row r="95" spans="1:3">
      <c r="A95" s="32"/>
      <c r="B95" s="26"/>
      <c r="C95" s="26"/>
    </row>
    <row r="96" spans="1:3">
      <c r="A96" s="32"/>
      <c r="B96" s="26"/>
      <c r="C96" s="26"/>
    </row>
    <row r="97" spans="1:3">
      <c r="A97" s="32"/>
      <c r="B97" s="26"/>
      <c r="C97" s="26"/>
    </row>
    <row r="98" spans="1:3">
      <c r="A98" s="32"/>
      <c r="B98" s="26"/>
      <c r="C98" s="26"/>
    </row>
    <row r="99" spans="1:3">
      <c r="A99" s="32"/>
      <c r="B99" s="26"/>
      <c r="C99" s="26"/>
    </row>
    <row r="100" spans="1:3">
      <c r="A100" s="32"/>
      <c r="B100" s="26"/>
      <c r="C100" s="26"/>
    </row>
    <row r="101" spans="1:3">
      <c r="A101" s="32"/>
      <c r="B101" s="26"/>
      <c r="C101" s="26"/>
    </row>
    <row r="102" spans="1:3">
      <c r="A102" s="32"/>
      <c r="B102" s="26"/>
      <c r="C102" s="26"/>
    </row>
    <row r="103" spans="1:3">
      <c r="A103" s="32"/>
      <c r="B103" s="26"/>
      <c r="C103" s="26"/>
    </row>
    <row r="104" spans="1:3">
      <c r="A104" s="32"/>
      <c r="B104" s="26"/>
      <c r="C104" s="26"/>
    </row>
    <row r="105" spans="1:3">
      <c r="A105" s="32"/>
      <c r="B105" s="26"/>
      <c r="C105" s="26"/>
    </row>
    <row r="106" spans="1:3">
      <c r="A106" s="32"/>
      <c r="B106" s="26"/>
      <c r="C106" s="26"/>
    </row>
    <row r="107" spans="1:3">
      <c r="A107" s="32"/>
      <c r="B107" s="26"/>
      <c r="C107" s="26"/>
    </row>
    <row r="108" spans="1:3">
      <c r="A108" s="32"/>
      <c r="B108" s="26"/>
      <c r="C108" s="26"/>
    </row>
    <row r="109" spans="1:3">
      <c r="A109" s="32"/>
      <c r="B109" s="26"/>
      <c r="C109" s="26"/>
    </row>
    <row r="110" spans="1:3">
      <c r="A110" s="32"/>
      <c r="B110" s="26"/>
      <c r="C110" s="26"/>
    </row>
    <row r="111" spans="1:3">
      <c r="A111" s="32"/>
      <c r="B111" s="26"/>
      <c r="C111" s="26"/>
    </row>
    <row r="112" spans="1:3">
      <c r="A112" s="32"/>
      <c r="B112" s="26"/>
      <c r="C112" s="26"/>
    </row>
    <row r="113" spans="1:3">
      <c r="A113" s="32"/>
      <c r="B113" s="26"/>
      <c r="C113" s="26"/>
    </row>
    <row r="114" spans="1:3">
      <c r="A114" s="32"/>
      <c r="B114" s="26"/>
      <c r="C114" s="26"/>
    </row>
    <row r="115" spans="1:3">
      <c r="A115" s="32"/>
      <c r="B115" s="26"/>
      <c r="C115" s="26"/>
    </row>
    <row r="116" spans="1:3">
      <c r="A116" s="32"/>
      <c r="B116" s="26"/>
      <c r="C116" s="26"/>
    </row>
    <row r="117" spans="1:3">
      <c r="A117" s="32"/>
      <c r="B117" s="26"/>
      <c r="C117" s="26"/>
    </row>
    <row r="118" spans="1:3">
      <c r="A118" s="32"/>
      <c r="B118" s="26"/>
      <c r="C118" s="26"/>
    </row>
    <row r="119" spans="1:3">
      <c r="A119" s="32"/>
      <c r="B119" s="26"/>
      <c r="C119" s="26"/>
    </row>
    <row r="120" spans="1:3">
      <c r="A120" s="32"/>
      <c r="B120" s="26"/>
      <c r="C120" s="26"/>
    </row>
    <row r="121" spans="1:3">
      <c r="A121" s="32"/>
      <c r="B121" s="26"/>
      <c r="C121" s="26"/>
    </row>
    <row r="122" spans="1:3">
      <c r="A122" s="32"/>
      <c r="B122" s="26"/>
      <c r="C122" s="26"/>
    </row>
    <row r="123" spans="1:3">
      <c r="A123" s="32"/>
      <c r="B123" s="26"/>
      <c r="C123" s="26"/>
    </row>
    <row r="124" spans="1:3">
      <c r="A124" s="32"/>
      <c r="B124" s="26"/>
      <c r="C124" s="26"/>
    </row>
    <row r="125" spans="1:3">
      <c r="A125" s="32"/>
      <c r="B125" s="26"/>
      <c r="C125" s="26"/>
    </row>
    <row r="126" spans="1:3">
      <c r="A126" s="32"/>
      <c r="B126" s="26"/>
      <c r="C126" s="26"/>
    </row>
    <row r="127" spans="1:3">
      <c r="A127" s="32"/>
      <c r="B127" s="26"/>
      <c r="C127" s="26"/>
    </row>
    <row r="128" spans="1:3">
      <c r="A128" s="32"/>
      <c r="B128" s="26"/>
      <c r="C128" s="26"/>
    </row>
    <row r="129" spans="1:3">
      <c r="A129" s="32"/>
      <c r="B129" s="26"/>
      <c r="C129" s="26"/>
    </row>
    <row r="130" spans="1:3">
      <c r="A130" s="32"/>
      <c r="B130" s="26"/>
      <c r="C130" s="26"/>
    </row>
    <row r="131" spans="1:3">
      <c r="A131" s="32"/>
      <c r="B131" s="26"/>
      <c r="C131" s="26"/>
    </row>
    <row r="132" spans="1:3">
      <c r="A132" s="32"/>
      <c r="B132" s="26"/>
      <c r="C132" s="26"/>
    </row>
    <row r="133" spans="1:3">
      <c r="A133" s="32"/>
      <c r="B133" s="26"/>
      <c r="C133" s="26"/>
    </row>
    <row r="134" spans="1:3">
      <c r="A134" s="32"/>
      <c r="B134" s="26"/>
      <c r="C134" s="26"/>
    </row>
    <row r="135" spans="1:3">
      <c r="A135" s="32"/>
      <c r="B135" s="26"/>
      <c r="C135" s="26"/>
    </row>
    <row r="136" spans="1:3">
      <c r="A136" s="32"/>
      <c r="B136" s="26"/>
      <c r="C136" s="26"/>
    </row>
    <row r="137" spans="1:3">
      <c r="A137" s="32"/>
      <c r="B137" s="26"/>
      <c r="C137" s="26"/>
    </row>
    <row r="138" spans="1:3">
      <c r="A138" s="32"/>
      <c r="B138" s="26"/>
      <c r="C138" s="26"/>
    </row>
    <row r="139" spans="1:3">
      <c r="A139" s="32"/>
      <c r="B139" s="26"/>
      <c r="C139" s="26"/>
    </row>
    <row r="140" spans="1:3">
      <c r="A140" s="32"/>
      <c r="B140" s="26"/>
      <c r="C140" s="26"/>
    </row>
    <row r="141" spans="1:3">
      <c r="A141" s="32"/>
      <c r="B141" s="26"/>
      <c r="C141" s="26"/>
    </row>
    <row r="142" spans="1:3">
      <c r="A142" s="32"/>
      <c r="B142" s="26"/>
      <c r="C142" s="26"/>
    </row>
    <row r="143" spans="1:3">
      <c r="A143" s="32"/>
      <c r="B143" s="26"/>
      <c r="C143" s="26"/>
    </row>
    <row r="144" spans="1:3">
      <c r="A144" s="32"/>
      <c r="B144" s="26"/>
      <c r="C144" s="26"/>
    </row>
    <row r="145" spans="1:3">
      <c r="A145" s="32"/>
      <c r="B145" s="26"/>
      <c r="C145" s="26"/>
    </row>
    <row r="146" spans="1:3">
      <c r="A146" s="32"/>
      <c r="B146" s="26"/>
      <c r="C146" s="26"/>
    </row>
    <row r="147" spans="1:3">
      <c r="A147" s="32"/>
      <c r="B147" s="26"/>
      <c r="C147" s="26"/>
    </row>
    <row r="148" spans="1:3">
      <c r="A148" s="32"/>
      <c r="B148" s="26"/>
      <c r="C148" s="26"/>
    </row>
    <row r="149" spans="1:3">
      <c r="A149" s="32"/>
      <c r="B149" s="26"/>
      <c r="C149" s="26"/>
    </row>
    <row r="150" spans="1:3">
      <c r="A150" s="32"/>
      <c r="B150" s="26"/>
      <c r="C150" s="26"/>
    </row>
    <row r="151" spans="1:3">
      <c r="A151" s="32"/>
      <c r="B151" s="26"/>
      <c r="C151" s="26"/>
    </row>
    <row r="152" spans="1:3">
      <c r="A152" s="32"/>
      <c r="B152" s="26"/>
      <c r="C152" s="26"/>
    </row>
    <row r="153" spans="1:3">
      <c r="A153" s="32"/>
      <c r="B153" s="26"/>
      <c r="C153" s="26"/>
    </row>
    <row r="154" spans="1:3">
      <c r="A154" s="32"/>
      <c r="B154" s="26"/>
      <c r="C154" s="26"/>
    </row>
    <row r="155" spans="1:3">
      <c r="A155" s="32"/>
      <c r="B155" s="26"/>
      <c r="C155" s="26"/>
    </row>
    <row r="156" spans="1:3">
      <c r="A156" s="32"/>
      <c r="B156" s="26"/>
      <c r="C156" s="26"/>
    </row>
    <row r="157" spans="1:3">
      <c r="A157" s="32"/>
      <c r="B157" s="26"/>
      <c r="C157" s="26"/>
    </row>
    <row r="158" spans="1:3">
      <c r="A158" s="32"/>
      <c r="B158" s="26"/>
      <c r="C158" s="26"/>
    </row>
    <row r="159" spans="1:3">
      <c r="A159" s="32"/>
      <c r="B159" s="26"/>
      <c r="C159" s="26"/>
    </row>
    <row r="160" spans="1:3">
      <c r="A160" s="32"/>
      <c r="B160" s="26"/>
      <c r="C160" s="26"/>
    </row>
    <row r="161" spans="1:3">
      <c r="A161" s="32"/>
      <c r="B161" s="26"/>
      <c r="C161" s="26"/>
    </row>
    <row r="162" spans="1:3">
      <c r="A162" s="32"/>
      <c r="B162" s="26"/>
      <c r="C162" s="26"/>
    </row>
    <row r="163" spans="1:3">
      <c r="A163" s="32"/>
      <c r="B163" s="26"/>
      <c r="C163" s="26"/>
    </row>
    <row r="164" spans="1:3">
      <c r="A164" s="32"/>
      <c r="B164" s="26"/>
      <c r="C164" s="26"/>
    </row>
    <row r="165" spans="1:3">
      <c r="A165" s="32"/>
      <c r="B165" s="26"/>
      <c r="C165" s="26"/>
    </row>
    <row r="166" spans="1:3">
      <c r="A166" s="32"/>
      <c r="B166" s="26"/>
      <c r="C166" s="26"/>
    </row>
    <row r="167" spans="1:3">
      <c r="A167" s="32"/>
      <c r="B167" s="26"/>
      <c r="C167" s="26"/>
    </row>
    <row r="168" spans="1:3">
      <c r="A168" s="32"/>
      <c r="B168" s="26"/>
      <c r="C168" s="26"/>
    </row>
    <row r="169" spans="1:3">
      <c r="A169" s="32"/>
      <c r="B169" s="26"/>
      <c r="C169" s="26"/>
    </row>
    <row r="170" spans="1:3">
      <c r="A170" s="32"/>
      <c r="B170" s="26"/>
      <c r="C170" s="26"/>
    </row>
    <row r="171" spans="1:3">
      <c r="A171" s="32"/>
      <c r="B171" s="26"/>
      <c r="C171" s="26"/>
    </row>
    <row r="172" spans="1:3">
      <c r="A172" s="32"/>
      <c r="B172" s="26"/>
      <c r="C172" s="26"/>
    </row>
    <row r="173" spans="1:3">
      <c r="A173" s="32"/>
      <c r="B173" s="26"/>
      <c r="C173" s="26"/>
    </row>
    <row r="174" spans="1:3">
      <c r="A174" s="32"/>
      <c r="B174" s="26"/>
      <c r="C174" s="26"/>
    </row>
    <row r="175" spans="1:3">
      <c r="A175" s="32"/>
      <c r="B175" s="26"/>
      <c r="C175" s="26"/>
    </row>
    <row r="176" spans="1:3">
      <c r="A176" s="32"/>
      <c r="B176" s="26"/>
      <c r="C176" s="26"/>
    </row>
    <row r="177" spans="1:3">
      <c r="A177" s="32"/>
      <c r="B177" s="26"/>
      <c r="C177" s="26"/>
    </row>
    <row r="178" spans="1:3">
      <c r="A178" s="32"/>
      <c r="B178" s="26"/>
      <c r="C178" s="26"/>
    </row>
    <row r="179" spans="1:3">
      <c r="A179" s="32"/>
      <c r="B179" s="26"/>
      <c r="C179" s="26"/>
    </row>
    <row r="180" spans="1:3">
      <c r="A180" s="32"/>
      <c r="B180" s="26"/>
      <c r="C180" s="26"/>
    </row>
    <row r="181" spans="1:3">
      <c r="A181" s="32"/>
      <c r="B181" s="26"/>
      <c r="C181" s="26"/>
    </row>
    <row r="182" spans="1:3">
      <c r="A182" s="32"/>
      <c r="B182" s="26"/>
      <c r="C182" s="26"/>
    </row>
    <row r="183" spans="1:3">
      <c r="A183" s="32"/>
      <c r="B183" s="26"/>
      <c r="C183" s="26"/>
    </row>
    <row r="184" spans="1:3">
      <c r="A184" s="32"/>
      <c r="B184" s="26"/>
      <c r="C184" s="26"/>
    </row>
    <row r="185" spans="1:3">
      <c r="A185" s="32"/>
      <c r="B185" s="26"/>
      <c r="C185" s="26"/>
    </row>
    <row r="186" spans="1:3">
      <c r="A186" s="32"/>
      <c r="B186" s="26"/>
      <c r="C186" s="26"/>
    </row>
    <row r="187" spans="1:3">
      <c r="A187" s="32"/>
      <c r="B187" s="26"/>
      <c r="C187" s="26"/>
    </row>
    <row r="188" spans="1:3">
      <c r="A188" s="32"/>
      <c r="B188" s="26"/>
      <c r="C188" s="26"/>
    </row>
    <row r="189" spans="1:3">
      <c r="A189" s="32"/>
      <c r="B189" s="26"/>
      <c r="C189" s="26"/>
    </row>
    <row r="190" spans="1:3">
      <c r="A190" s="32"/>
      <c r="B190" s="26"/>
      <c r="C190" s="26"/>
    </row>
    <row r="191" spans="1:3">
      <c r="A191" s="32"/>
      <c r="B191" s="26"/>
      <c r="C191" s="26"/>
    </row>
    <row r="192" spans="1:3">
      <c r="A192" s="32"/>
      <c r="B192" s="26"/>
      <c r="C192" s="26"/>
    </row>
    <row r="193" spans="1:3">
      <c r="A193" s="32"/>
      <c r="B193" s="26"/>
      <c r="C193" s="26"/>
    </row>
    <row r="194" spans="1:3">
      <c r="A194" s="32"/>
      <c r="B194" s="26"/>
      <c r="C194" s="26"/>
    </row>
    <row r="195" spans="1:3">
      <c r="A195" s="32"/>
      <c r="B195" s="26"/>
      <c r="C195" s="26"/>
    </row>
    <row r="196" spans="1:3">
      <c r="A196" s="32"/>
      <c r="B196" s="26"/>
      <c r="C196" s="26"/>
    </row>
    <row r="197" spans="1:3">
      <c r="A197" s="32"/>
      <c r="B197" s="26"/>
      <c r="C197" s="26"/>
    </row>
    <row r="198" spans="1:3">
      <c r="A198" s="32"/>
      <c r="B198" s="26"/>
      <c r="C198" s="26"/>
    </row>
    <row r="199" spans="1:3">
      <c r="A199" s="32"/>
      <c r="B199" s="26"/>
      <c r="C199" s="26"/>
    </row>
    <row r="200" spans="1:3">
      <c r="A200" s="32"/>
      <c r="B200" s="26"/>
      <c r="C200" s="26"/>
    </row>
    <row r="201" spans="1:3">
      <c r="A201" s="32"/>
      <c r="B201" s="26"/>
      <c r="C201" s="26"/>
    </row>
    <row r="202" spans="1:3">
      <c r="A202" s="32"/>
      <c r="B202" s="26"/>
      <c r="C202" s="26"/>
    </row>
    <row r="203" spans="1:3">
      <c r="A203" s="32"/>
      <c r="B203" s="26"/>
      <c r="C203" s="26"/>
    </row>
    <row r="204" spans="1:3">
      <c r="A204" s="32"/>
      <c r="B204" s="26"/>
      <c r="C204" s="26"/>
    </row>
    <row r="205" spans="1:3">
      <c r="A205" s="32"/>
      <c r="B205" s="26"/>
      <c r="C205" s="26"/>
    </row>
    <row r="206" spans="1:3">
      <c r="A206" s="32"/>
      <c r="B206" s="26"/>
      <c r="C206" s="26"/>
    </row>
    <row r="207" spans="1:3">
      <c r="A207" s="32"/>
      <c r="B207" s="26"/>
      <c r="C207" s="26"/>
    </row>
    <row r="208" spans="1:3">
      <c r="A208" s="32"/>
      <c r="B208" s="26"/>
      <c r="C208" s="26"/>
    </row>
    <row r="209" spans="1:3">
      <c r="A209" s="32"/>
      <c r="B209" s="26"/>
      <c r="C209" s="26"/>
    </row>
    <row r="210" spans="1:3">
      <c r="A210" s="32"/>
      <c r="B210" s="26"/>
      <c r="C210" s="26"/>
    </row>
    <row r="211" spans="1:3">
      <c r="A211" s="32"/>
      <c r="B211" s="26"/>
      <c r="C211" s="26"/>
    </row>
    <row r="212" spans="1:3">
      <c r="A212" s="32"/>
      <c r="B212" s="26"/>
      <c r="C212" s="26"/>
    </row>
    <row r="213" spans="1:3">
      <c r="A213" s="32"/>
      <c r="B213" s="26"/>
      <c r="C213" s="26"/>
    </row>
    <row r="214" spans="1:3">
      <c r="A214" s="32"/>
      <c r="B214" s="26"/>
      <c r="C214" s="26"/>
    </row>
    <row r="215" spans="1:3">
      <c r="A215" s="32"/>
      <c r="B215" s="26"/>
      <c r="C215" s="26"/>
    </row>
    <row r="216" spans="1:3">
      <c r="A216" s="32"/>
      <c r="B216" s="26"/>
      <c r="C216" s="26"/>
    </row>
    <row r="217" spans="1:3">
      <c r="A217" s="32"/>
      <c r="B217" s="26"/>
      <c r="C217" s="26"/>
    </row>
    <row r="218" spans="1:3">
      <c r="A218" s="32"/>
      <c r="B218" s="26"/>
      <c r="C218" s="26"/>
    </row>
    <row r="219" spans="1:3">
      <c r="A219" s="32"/>
      <c r="B219" s="26"/>
      <c r="C219" s="26"/>
    </row>
    <row r="220" spans="1:3">
      <c r="A220" s="32"/>
      <c r="B220" s="26"/>
      <c r="C220" s="26"/>
    </row>
    <row r="221" spans="1:3">
      <c r="A221" s="32"/>
      <c r="B221" s="26"/>
      <c r="C221" s="26"/>
    </row>
    <row r="222" spans="1:3">
      <c r="A222" s="32"/>
      <c r="B222" s="26"/>
      <c r="C222" s="26"/>
    </row>
    <row r="223" spans="1:3">
      <c r="A223" s="32"/>
      <c r="B223" s="26"/>
      <c r="C223" s="26"/>
    </row>
    <row r="224" spans="1:3">
      <c r="A224" s="32"/>
      <c r="B224" s="26"/>
      <c r="C224" s="26"/>
    </row>
    <row r="225" spans="1:3">
      <c r="A225" s="32"/>
      <c r="B225" s="26"/>
      <c r="C225" s="26"/>
    </row>
    <row r="226" spans="1:3">
      <c r="A226" s="32"/>
      <c r="B226" s="26"/>
      <c r="C226" s="26"/>
    </row>
    <row r="227" spans="1:3">
      <c r="A227" s="32"/>
      <c r="B227" s="26"/>
      <c r="C227" s="26"/>
    </row>
    <row r="228" spans="1:3">
      <c r="A228" s="32"/>
      <c r="B228" s="26"/>
      <c r="C228" s="26"/>
    </row>
    <row r="229" spans="1:3">
      <c r="A229" s="32"/>
      <c r="B229" s="26"/>
      <c r="C229" s="26"/>
    </row>
    <row r="230" spans="1:3">
      <c r="A230" s="32"/>
      <c r="B230" s="26"/>
      <c r="C230" s="26"/>
    </row>
    <row r="231" spans="1:3">
      <c r="A231" s="32"/>
      <c r="B231" s="26"/>
      <c r="C231" s="26"/>
    </row>
    <row r="232" spans="1:3">
      <c r="A232" s="32"/>
      <c r="B232" s="26"/>
      <c r="C232" s="26"/>
    </row>
    <row r="233" spans="1:3">
      <c r="A233" s="32"/>
      <c r="B233" s="26"/>
      <c r="C233" s="26"/>
    </row>
    <row r="234" spans="1:3">
      <c r="A234" s="32"/>
      <c r="B234" s="26"/>
      <c r="C234" s="26"/>
    </row>
    <row r="235" spans="1:3">
      <c r="A235" s="32"/>
      <c r="B235" s="26"/>
      <c r="C235" s="26"/>
    </row>
    <row r="236" spans="1:3">
      <c r="A236" s="32"/>
      <c r="B236" s="26"/>
      <c r="C236" s="26"/>
    </row>
    <row r="237" spans="1:3">
      <c r="A237" s="32"/>
      <c r="B237" s="26"/>
      <c r="C237" s="26"/>
    </row>
    <row r="238" spans="1:3">
      <c r="A238" s="32"/>
      <c r="B238" s="26"/>
      <c r="C238" s="26"/>
    </row>
    <row r="239" spans="1:3">
      <c r="A239" s="32"/>
      <c r="B239" s="26"/>
      <c r="C239" s="26"/>
    </row>
    <row r="240" spans="1:3">
      <c r="A240" s="32"/>
      <c r="B240" s="26"/>
      <c r="C240" s="26"/>
    </row>
    <row r="241" spans="1:3">
      <c r="A241" s="32"/>
      <c r="B241" s="26"/>
      <c r="C241" s="26"/>
    </row>
    <row r="242" spans="1:3">
      <c r="A242" s="32"/>
      <c r="B242" s="26"/>
      <c r="C242" s="26"/>
    </row>
    <row r="243" spans="1:3">
      <c r="A243" s="32"/>
      <c r="B243" s="26"/>
      <c r="C243" s="26"/>
    </row>
    <row r="244" spans="1:3">
      <c r="A244" s="32"/>
      <c r="B244" s="26"/>
      <c r="C244" s="26"/>
    </row>
    <row r="245" spans="1:3">
      <c r="A245" s="32"/>
      <c r="B245" s="26"/>
      <c r="C245" s="26"/>
    </row>
    <row r="246" spans="1:3">
      <c r="A246" s="32"/>
      <c r="B246" s="26"/>
      <c r="C246" s="26"/>
    </row>
    <row r="247" spans="1:3">
      <c r="A247" s="32"/>
      <c r="B247" s="26"/>
      <c r="C247" s="26"/>
    </row>
    <row r="248" spans="1:3">
      <c r="A248" s="32"/>
      <c r="B248" s="26"/>
      <c r="C248" s="26"/>
    </row>
    <row r="249" spans="1:3">
      <c r="A249" s="32"/>
      <c r="B249" s="26"/>
      <c r="C249" s="26"/>
    </row>
    <row r="250" spans="1:3">
      <c r="A250" s="32"/>
      <c r="B250" s="26"/>
      <c r="C250" s="26"/>
    </row>
    <row r="251" spans="1:3">
      <c r="A251" s="32"/>
      <c r="B251" s="26"/>
      <c r="C251" s="26"/>
    </row>
    <row r="252" spans="1:3">
      <c r="A252" s="32"/>
      <c r="B252" s="26"/>
      <c r="C252" s="26"/>
    </row>
    <row r="253" spans="1:3">
      <c r="A253" s="32"/>
      <c r="B253" s="26"/>
      <c r="C253" s="26"/>
    </row>
    <row r="254" spans="1:3">
      <c r="A254" s="32"/>
      <c r="B254" s="26"/>
      <c r="C254" s="26"/>
    </row>
    <row r="255" spans="1:3">
      <c r="A255" s="32"/>
      <c r="B255" s="26"/>
      <c r="C255" s="26"/>
    </row>
    <row r="256" spans="1:3">
      <c r="A256" s="32"/>
      <c r="B256" s="26"/>
      <c r="C256" s="26"/>
    </row>
    <row r="257" spans="1:3">
      <c r="A257" s="32"/>
      <c r="B257" s="26"/>
      <c r="C257" s="26"/>
    </row>
    <row r="258" spans="1:3">
      <c r="A258" s="32"/>
      <c r="B258" s="26"/>
      <c r="C258" s="26"/>
    </row>
    <row r="259" spans="1:3">
      <c r="A259" s="32"/>
      <c r="B259" s="26"/>
      <c r="C259" s="26"/>
    </row>
    <row r="260" spans="1:3">
      <c r="A260" s="32"/>
      <c r="B260" s="26"/>
      <c r="C260" s="26"/>
    </row>
    <row r="261" spans="1:3">
      <c r="A261" s="32"/>
      <c r="B261" s="26"/>
      <c r="C261" s="26"/>
    </row>
    <row r="262" spans="1:3">
      <c r="A262" s="32"/>
      <c r="B262" s="26"/>
      <c r="C262" s="26"/>
    </row>
    <row r="263" spans="1:3">
      <c r="A263" s="32"/>
      <c r="B263" s="26"/>
      <c r="C263" s="26"/>
    </row>
    <row r="264" spans="1:3">
      <c r="A264" s="32"/>
      <c r="B264" s="26"/>
      <c r="C264" s="26"/>
    </row>
    <row r="265" spans="1:3">
      <c r="A265" s="32"/>
      <c r="B265" s="26"/>
      <c r="C265" s="26"/>
    </row>
    <row r="266" spans="1:3">
      <c r="A266" s="32"/>
      <c r="B266" s="26"/>
      <c r="C266" s="26"/>
    </row>
    <row r="267" spans="1:3">
      <c r="A267" s="32"/>
      <c r="B267" s="26"/>
      <c r="C267" s="26"/>
    </row>
    <row r="268" spans="1:3">
      <c r="A268" s="32"/>
      <c r="B268" s="26"/>
      <c r="C268" s="26"/>
    </row>
    <row r="269" spans="1:3">
      <c r="A269" s="32"/>
      <c r="B269" s="26"/>
      <c r="C269" s="26"/>
    </row>
    <row r="270" spans="1:3">
      <c r="A270" s="32"/>
      <c r="B270" s="26"/>
      <c r="C270" s="26"/>
    </row>
    <row r="271" spans="1:3">
      <c r="A271" s="32"/>
      <c r="B271" s="26"/>
      <c r="C271" s="26"/>
    </row>
    <row r="272" spans="1:3">
      <c r="A272" s="32"/>
      <c r="B272" s="26"/>
      <c r="C272" s="26"/>
    </row>
    <row r="273" spans="1:3">
      <c r="A273" s="32"/>
      <c r="B273" s="26"/>
      <c r="C273" s="26"/>
    </row>
    <row r="274" spans="1:3">
      <c r="A274" s="32"/>
      <c r="B274" s="26"/>
      <c r="C274" s="26"/>
    </row>
    <row r="275" spans="1:3">
      <c r="A275" s="32"/>
      <c r="B275" s="26"/>
      <c r="C275" s="26"/>
    </row>
    <row r="276" spans="1:3">
      <c r="A276" s="32"/>
      <c r="B276" s="26"/>
      <c r="C276" s="26"/>
    </row>
    <row r="277" spans="1:3">
      <c r="A277" s="32"/>
      <c r="B277" s="26"/>
      <c r="C277" s="26"/>
    </row>
    <row r="278" spans="1:3">
      <c r="A278" s="32"/>
      <c r="B278" s="26"/>
      <c r="C278" s="26"/>
    </row>
    <row r="279" spans="1:3">
      <c r="A279" s="32"/>
      <c r="B279" s="26"/>
      <c r="C279" s="26"/>
    </row>
    <row r="280" spans="1:3">
      <c r="A280" s="32"/>
      <c r="B280" s="26"/>
      <c r="C280" s="26"/>
    </row>
    <row r="281" spans="1:3">
      <c r="A281" s="32"/>
      <c r="B281" s="26"/>
      <c r="C281" s="26"/>
    </row>
    <row r="282" spans="1:3">
      <c r="A282" s="32"/>
      <c r="B282" s="26"/>
      <c r="C282" s="26"/>
    </row>
    <row r="283" spans="1:3">
      <c r="A283" s="32"/>
      <c r="B283" s="26"/>
      <c r="C283" s="26"/>
    </row>
    <row r="284" spans="1:3">
      <c r="A284" s="32"/>
      <c r="B284" s="26"/>
      <c r="C284" s="26"/>
    </row>
    <row r="285" spans="1:3">
      <c r="A285" s="32"/>
      <c r="B285" s="26"/>
      <c r="C285" s="26"/>
    </row>
    <row r="286" spans="1:3">
      <c r="A286" s="32"/>
      <c r="B286" s="26"/>
      <c r="C286" s="26"/>
    </row>
    <row r="287" spans="1:3">
      <c r="A287" s="32"/>
      <c r="B287" s="26"/>
      <c r="C287" s="26"/>
    </row>
    <row r="288" spans="1:3">
      <c r="A288" s="32"/>
      <c r="B288" s="26"/>
      <c r="C288" s="26"/>
    </row>
    <row r="289" spans="1:3">
      <c r="A289" s="32"/>
      <c r="B289" s="26"/>
      <c r="C289" s="26"/>
    </row>
    <row r="290" spans="1:3">
      <c r="A290" s="32"/>
      <c r="B290" s="26"/>
      <c r="C290" s="26"/>
    </row>
    <row r="291" spans="1:3">
      <c r="A291" s="32"/>
      <c r="B291" s="26"/>
      <c r="C291" s="26"/>
    </row>
    <row r="292" spans="1:3">
      <c r="A292" s="32"/>
      <c r="B292" s="26"/>
      <c r="C292" s="26"/>
    </row>
    <row r="293" spans="1:3">
      <c r="A293" s="32"/>
      <c r="B293" s="26"/>
      <c r="C293" s="26"/>
    </row>
    <row r="294" spans="1:3">
      <c r="A294" s="32"/>
      <c r="B294" s="26"/>
      <c r="C294" s="26"/>
    </row>
    <row r="295" spans="1:3">
      <c r="A295" s="32"/>
      <c r="B295" s="26"/>
      <c r="C295" s="26"/>
    </row>
    <row r="296" spans="1:3">
      <c r="A296" s="32"/>
      <c r="B296" s="26"/>
      <c r="C296" s="26"/>
    </row>
    <row r="297" spans="1:3">
      <c r="A297" s="32"/>
      <c r="B297" s="26"/>
      <c r="C297" s="26"/>
    </row>
    <row r="298" spans="1:3">
      <c r="A298" s="32"/>
      <c r="B298" s="26"/>
      <c r="C298" s="26"/>
    </row>
    <row r="299" spans="1:3">
      <c r="A299" s="32"/>
      <c r="B299" s="26"/>
      <c r="C299" s="26"/>
    </row>
    <row r="300" spans="1:3">
      <c r="A300" s="32"/>
      <c r="B300" s="26"/>
      <c r="C300" s="26"/>
    </row>
    <row r="301" spans="1:3">
      <c r="A301" s="32"/>
      <c r="B301" s="26"/>
      <c r="C301" s="26"/>
    </row>
    <row r="302" spans="1:3">
      <c r="A302" s="32"/>
      <c r="B302" s="26"/>
      <c r="C302" s="26"/>
    </row>
    <row r="303" spans="1:3">
      <c r="A303" s="32"/>
      <c r="B303" s="26"/>
      <c r="C303" s="26"/>
    </row>
    <row r="304" spans="1:3">
      <c r="A304" s="32"/>
      <c r="B304" s="26"/>
      <c r="C304" s="26"/>
    </row>
    <row r="305" spans="1:3">
      <c r="A305" s="32"/>
      <c r="B305" s="26"/>
      <c r="C305" s="26"/>
    </row>
    <row r="306" spans="1:3">
      <c r="A306" s="32"/>
      <c r="B306" s="26"/>
      <c r="C306" s="26"/>
    </row>
    <row r="307" spans="1:3">
      <c r="A307" s="32"/>
      <c r="B307" s="26"/>
      <c r="C307" s="26"/>
    </row>
    <row r="308" spans="1:3">
      <c r="A308" s="32"/>
      <c r="B308" s="26"/>
      <c r="C308" s="26"/>
    </row>
    <row r="309" spans="1:3">
      <c r="A309" s="32"/>
      <c r="B309" s="26"/>
      <c r="C309" s="26"/>
    </row>
    <row r="310" spans="1:3">
      <c r="A310" s="32"/>
      <c r="B310" s="26"/>
      <c r="C310" s="26"/>
    </row>
    <row r="311" spans="1:3">
      <c r="A311" s="32"/>
      <c r="B311" s="26"/>
      <c r="C311" s="26"/>
    </row>
    <row r="312" spans="1:3">
      <c r="A312" s="32"/>
      <c r="B312" s="26"/>
      <c r="C312" s="26"/>
    </row>
    <row r="313" spans="1:3">
      <c r="A313" s="32"/>
      <c r="B313" s="26"/>
      <c r="C313" s="26"/>
    </row>
    <row r="314" spans="1:3">
      <c r="A314" s="32"/>
      <c r="B314" s="26"/>
      <c r="C314" s="26"/>
    </row>
    <row r="315" spans="1:3">
      <c r="A315" s="32"/>
      <c r="B315" s="26"/>
      <c r="C315" s="26"/>
    </row>
    <row r="316" spans="1:3">
      <c r="A316" s="32"/>
      <c r="B316" s="26"/>
      <c r="C316" s="26"/>
    </row>
    <row r="317" spans="1:3">
      <c r="A317" s="32"/>
      <c r="B317" s="26"/>
      <c r="C317" s="26"/>
    </row>
    <row r="318" spans="1:3">
      <c r="A318" s="32"/>
      <c r="B318" s="26"/>
      <c r="C318" s="26"/>
    </row>
    <row r="319" spans="1:3">
      <c r="A319" s="32"/>
      <c r="B319" s="26"/>
      <c r="C319" s="26"/>
    </row>
    <row r="320" spans="1:3">
      <c r="A320" s="32"/>
      <c r="B320" s="26"/>
      <c r="C320" s="26"/>
    </row>
    <row r="321" spans="1:3">
      <c r="A321" s="32"/>
      <c r="B321" s="26"/>
      <c r="C321" s="26"/>
    </row>
    <row r="322" spans="1:3">
      <c r="A322" s="32"/>
      <c r="B322" s="26"/>
      <c r="C322" s="26"/>
    </row>
    <row r="323" spans="1:3">
      <c r="A323" s="32"/>
      <c r="B323" s="26"/>
      <c r="C323" s="26"/>
    </row>
    <row r="324" spans="1:3">
      <c r="A324" s="32"/>
      <c r="B324" s="26"/>
      <c r="C324" s="26"/>
    </row>
    <row r="325" spans="1:3">
      <c r="A325" s="32"/>
      <c r="B325" s="26"/>
      <c r="C325" s="26"/>
    </row>
    <row r="326" spans="1:3">
      <c r="A326" s="32"/>
      <c r="B326" s="26"/>
      <c r="C326" s="26"/>
    </row>
    <row r="327" spans="1:3">
      <c r="A327" s="32"/>
      <c r="B327" s="26"/>
      <c r="C327" s="26"/>
    </row>
    <row r="328" spans="1:3">
      <c r="A328" s="32"/>
      <c r="B328" s="26"/>
      <c r="C328" s="26"/>
    </row>
    <row r="329" spans="1:3">
      <c r="A329" s="32"/>
      <c r="B329" s="26"/>
      <c r="C329" s="26"/>
    </row>
    <row r="330" spans="1:3">
      <c r="A330" s="32"/>
      <c r="B330" s="26"/>
      <c r="C330" s="26"/>
    </row>
    <row r="331" spans="1:3">
      <c r="A331" s="32"/>
      <c r="B331" s="26"/>
      <c r="C331" s="26"/>
    </row>
    <row r="332" spans="1:3">
      <c r="A332" s="32"/>
      <c r="B332" s="26"/>
      <c r="C332" s="26"/>
    </row>
    <row r="333" spans="1:3">
      <c r="A333" s="32"/>
      <c r="B333" s="26"/>
      <c r="C333" s="26"/>
    </row>
    <row r="334" spans="1:3">
      <c r="A334" s="32"/>
      <c r="B334" s="26"/>
      <c r="C334" s="26"/>
    </row>
    <row r="335" spans="1:3">
      <c r="A335" s="32"/>
      <c r="B335" s="26"/>
      <c r="C335" s="26"/>
    </row>
    <row r="336" spans="1:3">
      <c r="A336" s="32"/>
      <c r="B336" s="26"/>
      <c r="C336" s="26"/>
    </row>
    <row r="337" spans="1:3">
      <c r="A337" s="32"/>
      <c r="B337" s="26"/>
      <c r="C337" s="26"/>
    </row>
    <row r="338" spans="1:3">
      <c r="A338" s="32"/>
      <c r="B338" s="26"/>
      <c r="C338" s="26"/>
    </row>
    <row r="339" spans="1:3">
      <c r="A339" s="32"/>
      <c r="B339" s="26"/>
      <c r="C339" s="26"/>
    </row>
    <row r="340" spans="1:3">
      <c r="A340" s="32"/>
      <c r="B340" s="26"/>
      <c r="C340" s="26"/>
    </row>
    <row r="341" spans="1:3">
      <c r="A341" s="32"/>
      <c r="B341" s="26"/>
      <c r="C341" s="26"/>
    </row>
    <row r="342" spans="1:3">
      <c r="A342" s="32"/>
      <c r="B342" s="26"/>
      <c r="C342" s="26"/>
    </row>
    <row r="343" spans="1:3">
      <c r="A343" s="32"/>
      <c r="B343" s="26"/>
      <c r="C343" s="26"/>
    </row>
    <row r="344" spans="1:3">
      <c r="A344" s="32"/>
      <c r="B344" s="26"/>
      <c r="C344" s="26"/>
    </row>
    <row r="345" spans="1:3">
      <c r="A345" s="32"/>
      <c r="B345" s="26"/>
      <c r="C345" s="26"/>
    </row>
    <row r="346" spans="1:3">
      <c r="A346" s="32"/>
      <c r="B346" s="26"/>
      <c r="C346" s="26"/>
    </row>
    <row r="347" spans="1:3">
      <c r="A347" s="32"/>
      <c r="B347" s="26"/>
      <c r="C347" s="26"/>
    </row>
    <row r="348" spans="1:3">
      <c r="A348" s="32"/>
      <c r="B348" s="26"/>
      <c r="C348" s="26"/>
    </row>
    <row r="349" spans="1:3">
      <c r="A349" s="32"/>
      <c r="B349" s="26"/>
      <c r="C349" s="26"/>
    </row>
    <row r="350" spans="1:3">
      <c r="A350" s="32"/>
      <c r="B350" s="26"/>
      <c r="C350" s="26"/>
    </row>
    <row r="351" spans="1:3">
      <c r="A351" s="32"/>
      <c r="B351" s="26"/>
      <c r="C351" s="26"/>
    </row>
    <row r="352" spans="1:3">
      <c r="A352" s="32"/>
      <c r="B352" s="26"/>
      <c r="C352" s="26"/>
    </row>
    <row r="353" spans="1:3">
      <c r="A353" s="32"/>
      <c r="B353" s="26"/>
      <c r="C353" s="26"/>
    </row>
    <row r="354" spans="1:3">
      <c r="A354" s="32"/>
      <c r="B354" s="26"/>
      <c r="C354" s="26"/>
    </row>
    <row r="355" spans="1:3">
      <c r="A355" s="32"/>
      <c r="B355" s="26"/>
      <c r="C355" s="26"/>
    </row>
    <row r="356" spans="1:3">
      <c r="A356" s="32"/>
      <c r="B356" s="26"/>
      <c r="C356" s="26"/>
    </row>
    <row r="357" spans="1:3">
      <c r="A357" s="32"/>
      <c r="B357" s="26"/>
      <c r="C357" s="26"/>
    </row>
    <row r="358" spans="1:3">
      <c r="A358" s="32"/>
      <c r="B358" s="26"/>
      <c r="C358" s="26"/>
    </row>
    <row r="359" spans="1:3">
      <c r="A359" s="32"/>
      <c r="B359" s="26"/>
      <c r="C359" s="26"/>
    </row>
    <row r="360" spans="1:3">
      <c r="A360" s="32"/>
      <c r="B360" s="26"/>
      <c r="C360" s="26"/>
    </row>
    <row r="361" spans="1:3">
      <c r="A361" s="32"/>
      <c r="B361" s="26"/>
      <c r="C361" s="26"/>
    </row>
    <row r="362" spans="1:3">
      <c r="A362" s="32"/>
      <c r="B362" s="26"/>
      <c r="C362" s="26"/>
    </row>
    <row r="363" spans="1:3">
      <c r="A363" s="32"/>
      <c r="B363" s="26"/>
      <c r="C363" s="26"/>
    </row>
    <row r="364" spans="1:3">
      <c r="A364" s="32"/>
      <c r="B364" s="26"/>
      <c r="C364" s="26"/>
    </row>
    <row r="365" spans="1:3">
      <c r="A365" s="32"/>
      <c r="B365" s="26"/>
      <c r="C365" s="26"/>
    </row>
    <row r="366" spans="1:3">
      <c r="A366" s="32"/>
      <c r="B366" s="26"/>
      <c r="C366" s="26"/>
    </row>
    <row r="367" spans="1:3">
      <c r="A367" s="32"/>
      <c r="B367" s="26"/>
      <c r="C367" s="26"/>
    </row>
    <row r="368" spans="1:3">
      <c r="A368" s="32"/>
      <c r="B368" s="26"/>
      <c r="C368" s="26"/>
    </row>
    <row r="369" spans="1:3">
      <c r="A369" s="32"/>
      <c r="B369" s="26"/>
      <c r="C369" s="26"/>
    </row>
    <row r="370" spans="1:3">
      <c r="A370" s="32"/>
      <c r="B370" s="26"/>
      <c r="C370" s="26"/>
    </row>
    <row r="371" spans="1:3">
      <c r="A371" s="32"/>
      <c r="B371" s="26"/>
      <c r="C371" s="26"/>
    </row>
    <row r="372" spans="1:3">
      <c r="A372" s="32"/>
      <c r="B372" s="26"/>
      <c r="C372" s="26"/>
    </row>
    <row r="373" spans="1:3">
      <c r="A373" s="32"/>
      <c r="B373" s="26"/>
      <c r="C373" s="26"/>
    </row>
    <row r="374" spans="1:3">
      <c r="A374" s="32"/>
      <c r="B374" s="26"/>
      <c r="C374" s="26"/>
    </row>
    <row r="375" spans="1:3">
      <c r="A375" s="32"/>
      <c r="B375" s="26"/>
      <c r="C375" s="26"/>
    </row>
    <row r="376" spans="1:3">
      <c r="A376" s="32"/>
      <c r="B376" s="26"/>
      <c r="C376" s="26"/>
    </row>
    <row r="377" spans="1:3">
      <c r="A377" s="32"/>
      <c r="B377" s="26"/>
      <c r="C377" s="26"/>
    </row>
    <row r="378" spans="1:3">
      <c r="A378" s="32"/>
      <c r="B378" s="26"/>
      <c r="C378" s="26"/>
    </row>
    <row r="379" spans="1:3">
      <c r="A379" s="32"/>
      <c r="B379" s="26"/>
      <c r="C379" s="26"/>
    </row>
    <row r="380" spans="1:3">
      <c r="A380" s="32"/>
      <c r="B380" s="26"/>
      <c r="C380" s="26"/>
    </row>
    <row r="381" spans="1:3">
      <c r="A381" s="32"/>
      <c r="B381" s="26"/>
      <c r="C381" s="26"/>
    </row>
    <row r="382" spans="1:3">
      <c r="A382" s="32"/>
      <c r="B382" s="26"/>
      <c r="C382" s="26"/>
    </row>
    <row r="383" spans="1:3">
      <c r="A383" s="32"/>
      <c r="B383" s="26"/>
      <c r="C383" s="26"/>
    </row>
    <row r="384" spans="1:3">
      <c r="A384" s="32"/>
      <c r="B384" s="26"/>
      <c r="C384" s="26"/>
    </row>
    <row r="385" spans="1:3">
      <c r="A385" s="32"/>
      <c r="B385" s="26"/>
      <c r="C385" s="26"/>
    </row>
    <row r="386" spans="1:3">
      <c r="A386" s="32"/>
      <c r="B386" s="26"/>
      <c r="C386" s="26"/>
    </row>
    <row r="387" spans="1:3">
      <c r="A387" s="32"/>
      <c r="B387" s="26"/>
      <c r="C387" s="26"/>
    </row>
    <row r="388" spans="1:3">
      <c r="A388" s="32"/>
      <c r="B388" s="26"/>
      <c r="C388" s="26"/>
    </row>
    <row r="389" spans="1:3">
      <c r="A389" s="32"/>
      <c r="B389" s="26"/>
      <c r="C389" s="26"/>
    </row>
    <row r="390" spans="1:3">
      <c r="A390" s="32"/>
      <c r="B390" s="26"/>
      <c r="C390" s="26"/>
    </row>
    <row r="391" spans="1:3">
      <c r="A391" s="32"/>
      <c r="B391" s="26"/>
      <c r="C391" s="26"/>
    </row>
    <row r="392" spans="1:3">
      <c r="A392" s="32"/>
      <c r="B392" s="26"/>
      <c r="C392" s="26"/>
    </row>
    <row r="393" spans="1:3">
      <c r="A393" s="32"/>
      <c r="B393" s="26"/>
      <c r="C393" s="26"/>
    </row>
    <row r="394" spans="1:3">
      <c r="A394" s="32"/>
      <c r="B394" s="26"/>
      <c r="C394" s="26"/>
    </row>
    <row r="395" spans="1:3">
      <c r="A395" s="32"/>
      <c r="B395" s="26"/>
      <c r="C395" s="26"/>
    </row>
    <row r="396" spans="1:3">
      <c r="A396" s="32"/>
      <c r="B396" s="26"/>
      <c r="C396" s="26"/>
    </row>
    <row r="397" spans="1:3">
      <c r="A397" s="32"/>
      <c r="B397" s="26"/>
      <c r="C397" s="26"/>
    </row>
    <row r="398" spans="1:3">
      <c r="A398" s="32"/>
      <c r="B398" s="26"/>
      <c r="C398" s="26"/>
    </row>
    <row r="399" spans="1:3">
      <c r="A399" s="32"/>
      <c r="B399" s="26"/>
      <c r="C399" s="26"/>
    </row>
    <row r="400" spans="1:3">
      <c r="A400" s="32"/>
      <c r="B400" s="26"/>
      <c r="C400" s="26"/>
    </row>
    <row r="401" spans="1:3">
      <c r="A401" s="32"/>
      <c r="B401" s="26"/>
      <c r="C401" s="26"/>
    </row>
    <row r="402" spans="1:3">
      <c r="A402" s="32"/>
      <c r="B402" s="26"/>
      <c r="C402" s="26"/>
    </row>
    <row r="403" spans="1:3">
      <c r="A403" s="32"/>
      <c r="B403" s="26"/>
      <c r="C403" s="26"/>
    </row>
    <row r="404" spans="1:3">
      <c r="A404" s="32"/>
      <c r="B404" s="26"/>
      <c r="C404" s="26"/>
    </row>
    <row r="405" spans="1:3">
      <c r="A405" s="32"/>
      <c r="B405" s="26"/>
      <c r="C405" s="26"/>
    </row>
    <row r="406" spans="1:3">
      <c r="A406" s="32"/>
      <c r="B406" s="26"/>
      <c r="C406" s="26"/>
    </row>
    <row r="407" spans="1:3">
      <c r="A407" s="32"/>
      <c r="B407" s="26"/>
      <c r="C407" s="26"/>
    </row>
    <row r="408" spans="1:3">
      <c r="A408" s="32"/>
      <c r="B408" s="26"/>
      <c r="C408" s="26"/>
    </row>
    <row r="409" spans="1:3">
      <c r="A409" s="32"/>
      <c r="B409" s="26"/>
      <c r="C409" s="26"/>
    </row>
    <row r="410" spans="1:3">
      <c r="A410" s="32"/>
      <c r="B410" s="26"/>
      <c r="C410" s="26"/>
    </row>
    <row r="411" spans="1:3">
      <c r="A411" s="32"/>
      <c r="B411" s="26"/>
      <c r="C411" s="26"/>
    </row>
    <row r="412" spans="1:3">
      <c r="A412" s="32"/>
      <c r="B412" s="26"/>
      <c r="C412" s="26"/>
    </row>
    <row r="413" spans="1:3">
      <c r="A413" s="32"/>
      <c r="B413" s="26"/>
      <c r="C413" s="26"/>
    </row>
    <row r="414" spans="1:3">
      <c r="A414" s="32"/>
      <c r="B414" s="26"/>
      <c r="C414" s="26"/>
    </row>
    <row r="415" spans="1:3">
      <c r="A415" s="32"/>
      <c r="B415" s="26"/>
      <c r="C415" s="26"/>
    </row>
    <row r="416" spans="1:3">
      <c r="A416" s="32"/>
      <c r="B416" s="26"/>
      <c r="C416" s="26"/>
    </row>
    <row r="417" spans="1:3">
      <c r="A417" s="32"/>
      <c r="B417" s="26"/>
      <c r="C417" s="26"/>
    </row>
    <row r="418" spans="1:3">
      <c r="A418" s="32"/>
      <c r="B418" s="26"/>
      <c r="C418" s="26"/>
    </row>
    <row r="419" spans="1:3">
      <c r="A419" s="32"/>
      <c r="B419" s="26"/>
      <c r="C419" s="26"/>
    </row>
    <row r="420" spans="1:3">
      <c r="A420" s="32"/>
      <c r="B420" s="26"/>
      <c r="C420" s="26"/>
    </row>
    <row r="421" spans="1:3">
      <c r="A421" s="32"/>
      <c r="B421" s="26"/>
      <c r="C421" s="26"/>
    </row>
    <row r="422" spans="1:3">
      <c r="A422" s="32"/>
      <c r="B422" s="26"/>
      <c r="C422" s="26"/>
    </row>
    <row r="423" spans="1:3">
      <c r="A423" s="32"/>
      <c r="B423" s="26"/>
      <c r="C423" s="26"/>
    </row>
    <row r="424" spans="1:3">
      <c r="A424" s="32"/>
      <c r="B424" s="26"/>
      <c r="C424" s="26"/>
    </row>
    <row r="425" spans="1:3">
      <c r="A425" s="32"/>
      <c r="B425" s="26"/>
      <c r="C425" s="26"/>
    </row>
    <row r="426" spans="1:3">
      <c r="A426" s="32"/>
      <c r="B426" s="26"/>
      <c r="C426" s="26"/>
    </row>
    <row r="427" spans="1:3">
      <c r="A427" s="32"/>
      <c r="B427" s="26"/>
      <c r="C427" s="26"/>
    </row>
    <row r="428" spans="1:3">
      <c r="A428" s="32"/>
      <c r="B428" s="26"/>
      <c r="C428" s="26"/>
    </row>
    <row r="429" spans="1:3">
      <c r="A429" s="32"/>
      <c r="B429" s="26"/>
      <c r="C429" s="26"/>
    </row>
    <row r="430" spans="1:3">
      <c r="A430" s="32"/>
      <c r="B430" s="26"/>
      <c r="C430" s="26"/>
    </row>
    <row r="431" spans="1:3">
      <c r="A431" s="32"/>
      <c r="B431" s="26"/>
      <c r="C431" s="26"/>
    </row>
    <row r="432" spans="1:3">
      <c r="A432" s="32"/>
      <c r="B432" s="26"/>
      <c r="C432" s="26"/>
    </row>
    <row r="433" spans="1:3">
      <c r="A433" s="32"/>
      <c r="B433" s="26"/>
      <c r="C433" s="26"/>
    </row>
    <row r="434" spans="1:3">
      <c r="A434" s="32"/>
      <c r="B434" s="26"/>
      <c r="C434" s="26"/>
    </row>
    <row r="435" spans="1:3">
      <c r="A435" s="32"/>
      <c r="B435" s="26"/>
      <c r="C435" s="26"/>
    </row>
    <row r="436" spans="1:3">
      <c r="A436" s="32"/>
      <c r="B436" s="26"/>
      <c r="C436" s="26"/>
    </row>
    <row r="437" spans="1:3">
      <c r="A437" s="32"/>
      <c r="B437" s="26"/>
      <c r="C437" s="26"/>
    </row>
    <row r="438" spans="1:3">
      <c r="A438" s="32"/>
      <c r="B438" s="26"/>
      <c r="C438" s="26"/>
    </row>
    <row r="439" spans="1:3">
      <c r="A439" s="32"/>
      <c r="B439" s="26"/>
      <c r="C439" s="26"/>
    </row>
    <row r="440" spans="1:3">
      <c r="A440" s="32"/>
      <c r="B440" s="26"/>
      <c r="C440" s="26"/>
    </row>
    <row r="441" spans="1:3">
      <c r="A441" s="32"/>
      <c r="B441" s="26"/>
      <c r="C441" s="26"/>
    </row>
    <row r="442" spans="1:3">
      <c r="A442" s="32"/>
      <c r="B442" s="26"/>
      <c r="C442" s="26"/>
    </row>
    <row r="443" spans="1:3">
      <c r="A443" s="32"/>
      <c r="B443" s="26"/>
      <c r="C443" s="26"/>
    </row>
    <row r="444" spans="1:3">
      <c r="A444" s="32"/>
      <c r="B444" s="26"/>
      <c r="C444" s="26"/>
    </row>
    <row r="445" spans="1:3">
      <c r="A445" s="32"/>
      <c r="B445" s="26"/>
      <c r="C445" s="26"/>
    </row>
    <row r="446" spans="1:3">
      <c r="A446" s="32"/>
      <c r="B446" s="26"/>
      <c r="C446" s="26"/>
    </row>
    <row r="447" spans="1:3">
      <c r="A447" s="32"/>
      <c r="B447" s="26"/>
      <c r="C447" s="26"/>
    </row>
    <row r="448" spans="1:3">
      <c r="A448" s="32"/>
      <c r="B448" s="26"/>
      <c r="C448" s="26"/>
    </row>
    <row r="449" spans="1:3">
      <c r="A449" s="32"/>
      <c r="B449" s="26"/>
      <c r="C449" s="26"/>
    </row>
    <row r="450" spans="1:3">
      <c r="A450" s="32"/>
      <c r="B450" s="26"/>
      <c r="C450" s="26"/>
    </row>
    <row r="451" spans="1:3">
      <c r="A451" s="32"/>
      <c r="B451" s="26"/>
      <c r="C451" s="26"/>
    </row>
    <row r="452" spans="1:3">
      <c r="A452" s="32"/>
      <c r="B452" s="26"/>
      <c r="C452" s="26"/>
    </row>
    <row r="453" spans="1:3">
      <c r="A453" s="32"/>
      <c r="B453" s="26"/>
      <c r="C453" s="26"/>
    </row>
    <row r="454" spans="1:3">
      <c r="A454" s="32"/>
      <c r="B454" s="26"/>
      <c r="C454" s="26"/>
    </row>
    <row r="455" spans="1:3">
      <c r="A455" s="32"/>
      <c r="B455" s="26"/>
      <c r="C455" s="26"/>
    </row>
    <row r="456" spans="1:3">
      <c r="A456" s="32"/>
      <c r="B456" s="26"/>
      <c r="C456" s="26"/>
    </row>
    <row r="457" spans="1:3">
      <c r="A457" s="32"/>
      <c r="B457" s="26"/>
      <c r="C457" s="26"/>
    </row>
    <row r="458" spans="1:3">
      <c r="A458" s="32"/>
      <c r="B458" s="26"/>
      <c r="C458" s="26"/>
    </row>
    <row r="459" spans="1:3">
      <c r="A459" s="32"/>
      <c r="B459" s="26"/>
      <c r="C459" s="26"/>
    </row>
    <row r="460" spans="1:3">
      <c r="A460" s="32"/>
      <c r="B460" s="26"/>
      <c r="C460" s="26"/>
    </row>
    <row r="461" spans="1:3">
      <c r="A461" s="32"/>
      <c r="B461" s="26"/>
      <c r="C461" s="26"/>
    </row>
    <row r="462" spans="1:3">
      <c r="A462" s="32"/>
      <c r="B462" s="26"/>
      <c r="C462" s="26"/>
    </row>
    <row r="463" spans="1:3">
      <c r="A463" s="32"/>
      <c r="B463" s="26"/>
      <c r="C463" s="26"/>
    </row>
    <row r="464" spans="1:3">
      <c r="A464" s="32"/>
      <c r="B464" s="26"/>
      <c r="C464" s="26"/>
    </row>
    <row r="465" spans="1:3">
      <c r="A465" s="32"/>
      <c r="B465" s="26"/>
      <c r="C465" s="26"/>
    </row>
    <row r="466" spans="1:3">
      <c r="A466" s="32"/>
      <c r="B466" s="26"/>
      <c r="C466" s="26"/>
    </row>
    <row r="467" spans="1:3">
      <c r="A467" s="32"/>
      <c r="B467" s="26"/>
      <c r="C467" s="26"/>
    </row>
    <row r="468" spans="1:3">
      <c r="A468" s="32"/>
      <c r="B468" s="26"/>
      <c r="C468" s="26"/>
    </row>
    <row r="469" spans="1:3">
      <c r="A469" s="32"/>
      <c r="B469" s="26"/>
      <c r="C469" s="26"/>
    </row>
    <row r="470" spans="1:3">
      <c r="A470" s="32"/>
      <c r="B470" s="26"/>
      <c r="C470" s="26"/>
    </row>
    <row r="471" spans="1:3">
      <c r="A471" s="32"/>
      <c r="B471" s="26"/>
      <c r="C471" s="26"/>
    </row>
    <row r="472" spans="1:3">
      <c r="A472" s="32"/>
      <c r="B472" s="26"/>
      <c r="C472" s="26"/>
    </row>
    <row r="473" spans="1:3">
      <c r="A473" s="32"/>
      <c r="B473" s="26"/>
      <c r="C473" s="26"/>
    </row>
    <row r="474" spans="1:3">
      <c r="A474" s="32"/>
      <c r="B474" s="26"/>
      <c r="C474" s="26"/>
    </row>
    <row r="475" spans="1:3">
      <c r="A475" s="32"/>
      <c r="B475" s="26"/>
      <c r="C475" s="26"/>
    </row>
    <row r="476" spans="1:3">
      <c r="A476" s="32"/>
      <c r="B476" s="26"/>
      <c r="C476" s="26"/>
    </row>
    <row r="477" spans="1:3">
      <c r="A477" s="32"/>
      <c r="B477" s="26"/>
      <c r="C477" s="26"/>
    </row>
    <row r="478" spans="1:3">
      <c r="A478" s="32"/>
      <c r="B478" s="26"/>
      <c r="C478" s="26"/>
    </row>
    <row r="479" spans="1:3">
      <c r="A479" s="32"/>
      <c r="B479" s="26"/>
      <c r="C479" s="26"/>
    </row>
    <row r="480" spans="1:3">
      <c r="A480" s="32"/>
      <c r="B480" s="26"/>
      <c r="C480" s="26"/>
    </row>
    <row r="481" spans="1:3">
      <c r="A481" s="32"/>
      <c r="B481" s="26"/>
      <c r="C481" s="26"/>
    </row>
    <row r="482" spans="1:3">
      <c r="A482" s="32"/>
      <c r="B482" s="26"/>
      <c r="C482" s="26"/>
    </row>
    <row r="483" spans="1:3">
      <c r="A483" s="32"/>
      <c r="B483" s="26"/>
      <c r="C483" s="26"/>
    </row>
    <row r="484" spans="1:3">
      <c r="A484" s="32"/>
      <c r="B484" s="26"/>
      <c r="C484" s="26"/>
    </row>
    <row r="485" spans="1:3">
      <c r="A485" s="32"/>
      <c r="B485" s="26"/>
      <c r="C485" s="26"/>
    </row>
    <row r="486" spans="1:3">
      <c r="A486" s="32"/>
      <c r="B486" s="26"/>
      <c r="C486" s="26"/>
    </row>
    <row r="487" spans="1:3">
      <c r="A487" s="32"/>
      <c r="B487" s="26"/>
      <c r="C487" s="26"/>
    </row>
    <row r="488" spans="1:3">
      <c r="A488" s="32"/>
      <c r="B488" s="26"/>
      <c r="C488" s="26"/>
    </row>
    <row r="489" spans="1:3">
      <c r="A489" s="32"/>
      <c r="B489" s="26"/>
      <c r="C489" s="26"/>
    </row>
    <row r="490" spans="1:3">
      <c r="A490" s="32"/>
      <c r="B490" s="26"/>
      <c r="C490" s="26"/>
    </row>
    <row r="491" spans="1:3">
      <c r="A491" s="32"/>
      <c r="B491" s="26"/>
      <c r="C491" s="26"/>
    </row>
    <row r="492" spans="1:3">
      <c r="A492" s="32"/>
      <c r="B492" s="26"/>
      <c r="C492" s="26"/>
    </row>
    <row r="493" spans="1:3">
      <c r="A493" s="32"/>
      <c r="B493" s="26"/>
      <c r="C493" s="26"/>
    </row>
    <row r="494" spans="1:3">
      <c r="A494" s="32"/>
      <c r="B494" s="26"/>
      <c r="C494" s="26"/>
    </row>
    <row r="495" spans="1:3">
      <c r="A495" s="32"/>
      <c r="B495" s="26"/>
      <c r="C495" s="26"/>
    </row>
    <row r="496" spans="1:3">
      <c r="A496" s="32"/>
      <c r="B496" s="26"/>
      <c r="C496" s="26"/>
    </row>
    <row r="497" spans="1:3">
      <c r="A497" s="32"/>
      <c r="B497" s="26"/>
      <c r="C497" s="26"/>
    </row>
    <row r="498" spans="1:3">
      <c r="A498" s="32"/>
      <c r="B498" s="26"/>
      <c r="C498" s="26"/>
    </row>
    <row r="499" spans="1:3">
      <c r="A499" s="32"/>
      <c r="B499" s="26"/>
      <c r="C499" s="26"/>
    </row>
    <row r="500" spans="1:3">
      <c r="A500" s="32"/>
      <c r="B500" s="26"/>
      <c r="C500" s="26"/>
    </row>
    <row r="501" spans="1:3">
      <c r="A501" s="32"/>
      <c r="B501" s="26"/>
      <c r="C501" s="26"/>
    </row>
    <row r="502" spans="1:3">
      <c r="A502" s="32"/>
      <c r="B502" s="26"/>
      <c r="C502" s="26"/>
    </row>
    <row r="503" spans="1:3">
      <c r="A503" s="32"/>
      <c r="B503" s="26"/>
      <c r="C503" s="26"/>
    </row>
    <row r="504" spans="1:3">
      <c r="A504" s="32"/>
      <c r="B504" s="26"/>
      <c r="C504" s="26"/>
    </row>
    <row r="505" spans="1:3">
      <c r="A505" s="32"/>
      <c r="B505" s="26"/>
      <c r="C505" s="26"/>
    </row>
    <row r="506" spans="1:3">
      <c r="A506" s="32"/>
      <c r="B506" s="26"/>
      <c r="C506" s="26"/>
    </row>
    <row r="507" spans="1:3">
      <c r="A507" s="32"/>
      <c r="B507" s="26"/>
      <c r="C507" s="26"/>
    </row>
    <row r="508" spans="1:3">
      <c r="A508" s="32"/>
      <c r="B508" s="26"/>
      <c r="C508" s="26"/>
    </row>
    <row r="509" spans="1:3">
      <c r="A509" s="32"/>
      <c r="B509" s="26"/>
      <c r="C509" s="26"/>
    </row>
    <row r="510" spans="1:3">
      <c r="A510" s="32"/>
      <c r="B510" s="26"/>
      <c r="C510" s="26"/>
    </row>
    <row r="511" spans="1:3">
      <c r="A511" s="32"/>
      <c r="B511" s="26"/>
      <c r="C511" s="26"/>
    </row>
    <row r="512" spans="1:3">
      <c r="A512" s="32"/>
      <c r="B512" s="26"/>
      <c r="C512" s="26"/>
    </row>
    <row r="513" spans="1:3">
      <c r="A513" s="32"/>
      <c r="B513" s="26"/>
      <c r="C513" s="26"/>
    </row>
    <row r="514" spans="1:3">
      <c r="A514" s="32"/>
      <c r="B514" s="26"/>
      <c r="C514" s="26"/>
    </row>
    <row r="515" spans="1:3">
      <c r="A515" s="32"/>
      <c r="B515" s="26"/>
      <c r="C515" s="26"/>
    </row>
    <row r="516" spans="1:3">
      <c r="A516" s="32"/>
      <c r="B516" s="26"/>
      <c r="C516" s="26"/>
    </row>
    <row r="517" spans="1:3">
      <c r="A517" s="32"/>
      <c r="B517" s="26"/>
      <c r="C517" s="26"/>
    </row>
    <row r="518" spans="1:3">
      <c r="A518" s="32"/>
      <c r="B518" s="26"/>
      <c r="C518" s="26"/>
    </row>
    <row r="519" spans="1:3">
      <c r="A519" s="32"/>
      <c r="B519" s="26"/>
      <c r="C519" s="26"/>
    </row>
    <row r="520" spans="1:3">
      <c r="A520" s="32"/>
      <c r="B520" s="26"/>
      <c r="C520" s="26"/>
    </row>
    <row r="521" spans="1:3">
      <c r="A521" s="32"/>
      <c r="B521" s="26"/>
      <c r="C521" s="26"/>
    </row>
    <row r="522" spans="1:3">
      <c r="A522" s="32"/>
      <c r="B522" s="26"/>
      <c r="C522" s="26"/>
    </row>
    <row r="523" spans="1:3">
      <c r="A523" s="32"/>
      <c r="B523" s="26"/>
      <c r="C523" s="26"/>
    </row>
    <row r="524" spans="1:3">
      <c r="A524" s="32"/>
      <c r="B524" s="26"/>
      <c r="C524" s="26"/>
    </row>
    <row r="525" spans="1:3">
      <c r="A525" s="32"/>
      <c r="B525" s="26"/>
      <c r="C525" s="26"/>
    </row>
    <row r="526" spans="1:3">
      <c r="A526" s="32"/>
      <c r="B526" s="26"/>
      <c r="C526" s="26"/>
    </row>
    <row r="527" spans="1:3">
      <c r="A527" s="32"/>
      <c r="B527" s="26"/>
      <c r="C527" s="26"/>
    </row>
    <row r="528" spans="1:3">
      <c r="A528" s="32"/>
      <c r="B528" s="26"/>
      <c r="C528" s="26"/>
    </row>
    <row r="529" spans="1:3">
      <c r="A529" s="32"/>
      <c r="B529" s="26"/>
      <c r="C529" s="26"/>
    </row>
    <row r="530" spans="1:3">
      <c r="A530" s="32"/>
      <c r="B530" s="26"/>
      <c r="C530" s="26"/>
    </row>
    <row r="531" spans="1:3">
      <c r="A531" s="32"/>
      <c r="B531" s="26"/>
      <c r="C531" s="26"/>
    </row>
    <row r="532" spans="1:3">
      <c r="A532" s="32"/>
      <c r="B532" s="26"/>
      <c r="C532" s="26"/>
    </row>
    <row r="533" spans="1:3">
      <c r="A533" s="32"/>
      <c r="B533" s="26"/>
      <c r="C533" s="26"/>
    </row>
    <row r="534" spans="1:3">
      <c r="A534" s="32"/>
      <c r="B534" s="26"/>
      <c r="C534" s="26"/>
    </row>
    <row r="535" spans="1:3">
      <c r="A535" s="32"/>
      <c r="B535" s="26"/>
      <c r="C535" s="26"/>
    </row>
    <row r="536" spans="1:3">
      <c r="A536" s="32"/>
      <c r="B536" s="26"/>
      <c r="C536" s="26"/>
    </row>
    <row r="537" spans="1:3">
      <c r="A537" s="32"/>
      <c r="B537" s="26"/>
      <c r="C537" s="26"/>
    </row>
    <row r="538" spans="1:3">
      <c r="A538" s="32"/>
      <c r="B538" s="26"/>
      <c r="C538" s="26"/>
    </row>
    <row r="539" spans="1:3">
      <c r="A539" s="32"/>
      <c r="B539" s="26"/>
      <c r="C539" s="26"/>
    </row>
    <row r="540" spans="1:3">
      <c r="A540" s="32"/>
      <c r="B540" s="26"/>
      <c r="C540" s="26"/>
    </row>
    <row r="541" spans="1:3">
      <c r="A541" s="32"/>
      <c r="B541" s="26"/>
      <c r="C541" s="26"/>
    </row>
    <row r="542" spans="1:3">
      <c r="A542" s="32"/>
      <c r="B542" s="26"/>
      <c r="C542" s="26"/>
    </row>
    <row r="543" spans="1:3">
      <c r="A543" s="32"/>
      <c r="B543" s="26"/>
      <c r="C543" s="26"/>
    </row>
    <row r="544" spans="1:3">
      <c r="A544" s="32"/>
      <c r="B544" s="26"/>
      <c r="C544" s="26"/>
    </row>
    <row r="545" spans="1:3">
      <c r="A545" s="32"/>
      <c r="B545" s="26"/>
      <c r="C545" s="26"/>
    </row>
    <row r="546" spans="1:3">
      <c r="A546" s="32"/>
      <c r="B546" s="26"/>
      <c r="C546" s="26"/>
    </row>
    <row r="547" spans="1:3">
      <c r="A547" s="32"/>
      <c r="B547" s="26"/>
      <c r="C547" s="26"/>
    </row>
    <row r="548" spans="1:3">
      <c r="A548" s="32"/>
      <c r="B548" s="26"/>
      <c r="C548" s="26"/>
    </row>
    <row r="549" spans="1:3">
      <c r="A549" s="32"/>
      <c r="B549" s="26"/>
      <c r="C549" s="26"/>
    </row>
    <row r="550" spans="1:3">
      <c r="A550" s="32"/>
      <c r="B550" s="26"/>
      <c r="C550" s="26"/>
    </row>
    <row r="551" spans="1:3">
      <c r="A551" s="32"/>
      <c r="B551" s="26"/>
      <c r="C551" s="26"/>
    </row>
    <row r="552" spans="1:3">
      <c r="A552" s="32"/>
      <c r="B552" s="26"/>
      <c r="C552" s="26"/>
    </row>
    <row r="553" spans="1:3">
      <c r="A553" s="32"/>
      <c r="B553" s="26"/>
      <c r="C553" s="26"/>
    </row>
    <row r="554" spans="1:3">
      <c r="A554" s="32"/>
      <c r="B554" s="26"/>
      <c r="C554" s="26"/>
    </row>
    <row r="555" spans="1:3">
      <c r="A555" s="32"/>
      <c r="B555" s="26"/>
      <c r="C555" s="26"/>
    </row>
    <row r="556" spans="1:3">
      <c r="A556" s="32"/>
      <c r="B556" s="26"/>
      <c r="C556" s="26"/>
    </row>
    <row r="557" spans="1:3">
      <c r="A557" s="32"/>
      <c r="B557" s="26"/>
      <c r="C557" s="26"/>
    </row>
    <row r="558" spans="1:3">
      <c r="A558" s="32"/>
      <c r="B558" s="26"/>
      <c r="C558" s="26"/>
    </row>
    <row r="559" spans="1:3">
      <c r="A559" s="32"/>
      <c r="B559" s="26"/>
      <c r="C559" s="26"/>
    </row>
    <row r="560" spans="1:3">
      <c r="A560" s="32"/>
      <c r="B560" s="26"/>
      <c r="C560" s="26"/>
    </row>
    <row r="561" spans="1:3">
      <c r="A561" s="32"/>
      <c r="B561" s="26"/>
      <c r="C561" s="26"/>
    </row>
    <row r="562" spans="1:3">
      <c r="A562" s="32"/>
      <c r="B562" s="26"/>
      <c r="C562" s="26"/>
    </row>
    <row r="563" spans="1:3">
      <c r="A563" s="32"/>
      <c r="B563" s="26"/>
      <c r="C563" s="26"/>
    </row>
    <row r="564" spans="1:3">
      <c r="A564" s="32"/>
      <c r="B564" s="26"/>
      <c r="C564" s="26"/>
    </row>
    <row r="565" spans="1:3">
      <c r="A565" s="32"/>
      <c r="B565" s="26"/>
      <c r="C565" s="26"/>
    </row>
    <row r="566" spans="1:3">
      <c r="A566" s="32"/>
      <c r="B566" s="26"/>
      <c r="C566" s="26"/>
    </row>
    <row r="567" spans="1:3">
      <c r="A567" s="32"/>
      <c r="B567" s="26"/>
      <c r="C567" s="26"/>
    </row>
    <row r="568" spans="1:3">
      <c r="A568" s="32"/>
      <c r="B568" s="26"/>
      <c r="C568" s="26"/>
    </row>
    <row r="569" spans="1:3">
      <c r="A569" s="32"/>
      <c r="B569" s="26"/>
      <c r="C569" s="26"/>
    </row>
    <row r="570" spans="1:3">
      <c r="A570" s="32"/>
      <c r="B570" s="26"/>
      <c r="C570" s="26"/>
    </row>
    <row r="571" spans="1:3">
      <c r="A571" s="32"/>
      <c r="B571" s="26"/>
      <c r="C571" s="26"/>
    </row>
    <row r="572" spans="1:3">
      <c r="A572" s="32"/>
      <c r="B572" s="26"/>
      <c r="C572" s="26"/>
    </row>
    <row r="573" spans="1:3">
      <c r="A573" s="32"/>
      <c r="B573" s="26"/>
      <c r="C573" s="26"/>
    </row>
    <row r="574" spans="1:3">
      <c r="A574" s="32"/>
      <c r="B574" s="26"/>
      <c r="C574" s="26"/>
    </row>
    <row r="575" spans="1:3">
      <c r="A575" s="32"/>
      <c r="B575" s="26"/>
      <c r="C575" s="26"/>
    </row>
    <row r="576" spans="1:3">
      <c r="A576" s="32"/>
      <c r="B576" s="26"/>
      <c r="C576" s="26"/>
    </row>
    <row r="577" spans="1:3">
      <c r="A577" s="32"/>
      <c r="B577" s="26"/>
      <c r="C577" s="26"/>
    </row>
    <row r="578" spans="1:3">
      <c r="A578" s="32"/>
      <c r="B578" s="26"/>
      <c r="C578" s="26"/>
    </row>
    <row r="579" spans="1:3">
      <c r="A579" s="32"/>
      <c r="B579" s="26"/>
      <c r="C579" s="26"/>
    </row>
    <row r="580" spans="1:3">
      <c r="A580" s="32"/>
      <c r="B580" s="26"/>
      <c r="C580" s="26"/>
    </row>
    <row r="581" spans="1:3">
      <c r="A581" s="32"/>
      <c r="B581" s="26"/>
      <c r="C581" s="26"/>
    </row>
    <row r="582" spans="1:3">
      <c r="A582" s="32"/>
      <c r="B582" s="26"/>
      <c r="C582" s="26"/>
    </row>
    <row r="583" spans="1:3">
      <c r="A583" s="32"/>
      <c r="B583" s="26"/>
      <c r="C583" s="26"/>
    </row>
    <row r="584" spans="1:3">
      <c r="A584" s="32"/>
      <c r="B584" s="26"/>
      <c r="C584" s="26"/>
    </row>
    <row r="585" spans="1:3">
      <c r="A585" s="32"/>
      <c r="B585" s="26"/>
      <c r="C585" s="26"/>
    </row>
    <row r="586" spans="1:3">
      <c r="A586" s="32"/>
      <c r="B586" s="26"/>
      <c r="C586" s="26"/>
    </row>
    <row r="587" spans="1:3">
      <c r="A587" s="32"/>
      <c r="B587" s="26"/>
      <c r="C587" s="26"/>
    </row>
    <row r="588" spans="1:3">
      <c r="A588" s="32"/>
      <c r="B588" s="26"/>
      <c r="C588" s="26"/>
    </row>
    <row r="589" spans="1:3">
      <c r="A589" s="32"/>
      <c r="B589" s="26"/>
      <c r="C589" s="26"/>
    </row>
    <row r="590" spans="1:3">
      <c r="A590" s="32"/>
      <c r="B590" s="26"/>
      <c r="C590" s="26"/>
    </row>
    <row r="591" spans="1:3">
      <c r="A591" s="32"/>
      <c r="B591" s="26"/>
      <c r="C591" s="26"/>
    </row>
    <row r="592" spans="1:3">
      <c r="A592" s="32"/>
      <c r="B592" s="26"/>
      <c r="C592" s="26"/>
    </row>
    <row r="593" spans="1:3">
      <c r="A593" s="32"/>
      <c r="B593" s="26"/>
      <c r="C593" s="26"/>
    </row>
    <row r="594" spans="1:3">
      <c r="A594" s="32"/>
      <c r="B594" s="26"/>
      <c r="C594" s="26"/>
    </row>
    <row r="595" spans="1:3">
      <c r="A595" s="32"/>
      <c r="B595" s="26"/>
      <c r="C595" s="26"/>
    </row>
    <row r="596" spans="1:3">
      <c r="A596" s="32"/>
      <c r="B596" s="26"/>
      <c r="C596" s="26"/>
    </row>
    <row r="597" spans="1:3">
      <c r="A597" s="32"/>
      <c r="B597" s="26"/>
      <c r="C597" s="26"/>
    </row>
    <row r="598" spans="1:3">
      <c r="A598" s="32"/>
      <c r="B598" s="26"/>
      <c r="C598" s="26"/>
    </row>
    <row r="599" spans="1:3">
      <c r="A599" s="32"/>
      <c r="B599" s="26"/>
      <c r="C599" s="26"/>
    </row>
    <row r="600" spans="1:3">
      <c r="A600" s="32"/>
      <c r="B600" s="26"/>
      <c r="C600" s="26"/>
    </row>
    <row r="601" spans="1:3">
      <c r="A601" s="32"/>
      <c r="B601" s="26"/>
      <c r="C601" s="26"/>
    </row>
    <row r="602" spans="1:3">
      <c r="A602" s="32"/>
      <c r="B602" s="26"/>
      <c r="C602" s="26"/>
    </row>
    <row r="603" spans="1:3">
      <c r="A603" s="32"/>
      <c r="B603" s="26"/>
      <c r="C603" s="26"/>
    </row>
    <row r="604" spans="1:3">
      <c r="A604" s="32"/>
      <c r="B604" s="26"/>
      <c r="C604" s="26"/>
    </row>
    <row r="605" spans="1:3">
      <c r="A605" s="32"/>
      <c r="B605" s="26"/>
      <c r="C605" s="26"/>
    </row>
    <row r="606" spans="1:3">
      <c r="A606" s="32"/>
      <c r="B606" s="26"/>
      <c r="C606" s="26"/>
    </row>
    <row r="607" spans="1:3">
      <c r="A607" s="32"/>
      <c r="B607" s="26"/>
      <c r="C607" s="26"/>
    </row>
    <row r="608" spans="1:3">
      <c r="A608" s="32"/>
      <c r="B608" s="26"/>
      <c r="C608" s="26"/>
    </row>
    <row r="609" spans="1:3">
      <c r="A609" s="32"/>
      <c r="B609" s="26"/>
      <c r="C609" s="26"/>
    </row>
    <row r="610" spans="1:3">
      <c r="A610" s="32"/>
      <c r="B610" s="26"/>
      <c r="C610" s="26"/>
    </row>
    <row r="611" spans="1:3">
      <c r="A611" s="32"/>
      <c r="B611" s="26"/>
      <c r="C611" s="26"/>
    </row>
    <row r="612" spans="1:3">
      <c r="A612" s="32"/>
      <c r="B612" s="26"/>
      <c r="C612" s="26"/>
    </row>
    <row r="613" spans="1:3">
      <c r="A613" s="32"/>
      <c r="B613" s="26"/>
      <c r="C613" s="26"/>
    </row>
    <row r="614" spans="1:3">
      <c r="A614" s="32"/>
      <c r="B614" s="26"/>
      <c r="C614" s="26"/>
    </row>
    <row r="615" spans="1:3">
      <c r="A615" s="32"/>
      <c r="B615" s="26"/>
      <c r="C615" s="26"/>
    </row>
    <row r="616" spans="1:3">
      <c r="A616" s="32"/>
      <c r="B616" s="26"/>
      <c r="C616" s="26"/>
    </row>
    <row r="617" spans="1:3">
      <c r="A617" s="32"/>
      <c r="B617" s="26"/>
      <c r="C617" s="26"/>
    </row>
    <row r="618" spans="1:3">
      <c r="A618" s="32"/>
      <c r="B618" s="26"/>
      <c r="C618" s="26"/>
    </row>
    <row r="619" spans="1:3">
      <c r="A619" s="32"/>
      <c r="B619" s="26"/>
      <c r="C619" s="26"/>
    </row>
    <row r="620" spans="1:3">
      <c r="A620" s="32"/>
      <c r="B620" s="26"/>
      <c r="C620" s="26"/>
    </row>
    <row r="621" spans="1:3">
      <c r="A621" s="32"/>
      <c r="B621" s="26"/>
      <c r="C621" s="26"/>
    </row>
    <row r="622" spans="1:3">
      <c r="A622" s="32"/>
      <c r="B622" s="26"/>
      <c r="C622" s="26"/>
    </row>
    <row r="623" spans="1:3">
      <c r="A623" s="32"/>
      <c r="B623" s="26"/>
      <c r="C623" s="26"/>
    </row>
    <row r="624" spans="1:3">
      <c r="A624" s="32"/>
      <c r="B624" s="26"/>
      <c r="C624" s="26"/>
    </row>
    <row r="625" spans="1:3">
      <c r="A625" s="32"/>
      <c r="B625" s="26"/>
      <c r="C625" s="26"/>
    </row>
    <row r="626" spans="1:3">
      <c r="A626" s="32"/>
      <c r="B626" s="26"/>
      <c r="C626" s="26"/>
    </row>
    <row r="627" spans="1:3">
      <c r="A627" s="32"/>
      <c r="B627" s="26"/>
      <c r="C627" s="26"/>
    </row>
    <row r="628" spans="1:3">
      <c r="A628" s="32"/>
      <c r="B628" s="26"/>
      <c r="C628" s="26"/>
    </row>
    <row r="629" spans="1:3">
      <c r="A629" s="32"/>
      <c r="B629" s="26"/>
      <c r="C629" s="26"/>
    </row>
    <row r="630" spans="1:3">
      <c r="A630" s="32"/>
      <c r="B630" s="26"/>
      <c r="C630" s="26"/>
    </row>
    <row r="631" spans="1:3">
      <c r="A631" s="32"/>
      <c r="B631" s="26"/>
      <c r="C631" s="26"/>
    </row>
    <row r="632" spans="1:3">
      <c r="A632" s="32"/>
      <c r="B632" s="26"/>
      <c r="C632" s="26"/>
    </row>
    <row r="633" spans="1:3">
      <c r="A633" s="32"/>
      <c r="B633" s="26"/>
      <c r="C633" s="26"/>
    </row>
    <row r="634" spans="1:3">
      <c r="A634" s="32"/>
      <c r="B634" s="26"/>
      <c r="C634" s="26"/>
    </row>
    <row r="635" spans="1:3">
      <c r="A635" s="32"/>
      <c r="B635" s="26"/>
      <c r="C635" s="26"/>
    </row>
    <row r="636" spans="1:3">
      <c r="A636" s="32"/>
      <c r="B636" s="26"/>
      <c r="C636" s="26"/>
    </row>
    <row r="637" spans="1:3">
      <c r="A637" s="32"/>
      <c r="B637" s="26"/>
      <c r="C637" s="26"/>
    </row>
    <row r="638" spans="1:3">
      <c r="A638" s="32"/>
      <c r="B638" s="26"/>
      <c r="C638" s="26"/>
    </row>
    <row r="639" spans="1:3">
      <c r="A639" s="32"/>
      <c r="B639" s="26"/>
      <c r="C639" s="26"/>
    </row>
    <row r="640" spans="1:3">
      <c r="A640" s="32"/>
      <c r="B640" s="26"/>
      <c r="C640" s="26"/>
    </row>
    <row r="641" spans="1:3">
      <c r="A641" s="32"/>
      <c r="B641" s="26"/>
      <c r="C641" s="26"/>
    </row>
    <row r="642" spans="1:3">
      <c r="A642" s="32"/>
      <c r="B642" s="26"/>
      <c r="C642" s="26"/>
    </row>
    <row r="643" spans="1:3">
      <c r="A643" s="32"/>
      <c r="B643" s="26"/>
      <c r="C643" s="26"/>
    </row>
    <row r="644" spans="1:3">
      <c r="A644" s="32"/>
      <c r="B644" s="26"/>
      <c r="C644" s="26"/>
    </row>
    <row r="645" spans="1:3">
      <c r="A645" s="32"/>
      <c r="B645" s="26"/>
      <c r="C645" s="26"/>
    </row>
    <row r="646" spans="1:3">
      <c r="A646" s="32"/>
      <c r="B646" s="26"/>
      <c r="C646" s="26"/>
    </row>
    <row r="647" spans="1:3">
      <c r="A647" s="32"/>
      <c r="B647" s="26"/>
      <c r="C647" s="26"/>
    </row>
    <row r="648" spans="1:3">
      <c r="A648" s="32"/>
      <c r="B648" s="26"/>
      <c r="C648" s="26"/>
    </row>
    <row r="649" spans="1:3">
      <c r="A649" s="32"/>
      <c r="B649" s="26"/>
      <c r="C649" s="26"/>
    </row>
    <row r="650" spans="1:3">
      <c r="A650" s="32"/>
      <c r="B650" s="26"/>
      <c r="C650" s="26"/>
    </row>
    <row r="651" spans="1:3">
      <c r="A651" s="32"/>
      <c r="B651" s="26"/>
      <c r="C651" s="26"/>
    </row>
    <row r="652" spans="1:3">
      <c r="A652" s="32"/>
      <c r="B652" s="26"/>
      <c r="C652" s="26"/>
    </row>
    <row r="653" spans="1:3">
      <c r="A653" s="32"/>
      <c r="B653" s="26"/>
      <c r="C653" s="26"/>
    </row>
    <row r="654" spans="1:3">
      <c r="A654" s="32"/>
      <c r="B654" s="26"/>
      <c r="C654" s="26"/>
    </row>
    <row r="655" spans="1:3">
      <c r="A655" s="32"/>
      <c r="B655" s="26"/>
      <c r="C655" s="26"/>
    </row>
    <row r="656" spans="1:3">
      <c r="A656" s="32"/>
      <c r="B656" s="26"/>
      <c r="C656" s="26"/>
    </row>
    <row r="657" spans="1:3">
      <c r="A657" s="32"/>
      <c r="B657" s="26"/>
      <c r="C657" s="26"/>
    </row>
    <row r="658" spans="1:3">
      <c r="A658" s="32"/>
      <c r="B658" s="26"/>
      <c r="C658" s="26"/>
    </row>
    <row r="659" spans="1:3">
      <c r="A659" s="32"/>
      <c r="B659" s="26"/>
      <c r="C659" s="26"/>
    </row>
    <row r="660" spans="1:3">
      <c r="A660" s="32"/>
      <c r="B660" s="26"/>
      <c r="C660" s="26"/>
    </row>
    <row r="661" spans="1:3">
      <c r="A661" s="32"/>
      <c r="B661" s="26"/>
      <c r="C661" s="26"/>
    </row>
    <row r="662" spans="1:3">
      <c r="A662" s="32"/>
      <c r="B662" s="26"/>
      <c r="C662" s="26"/>
    </row>
    <row r="663" spans="1:3">
      <c r="A663" s="32"/>
      <c r="B663" s="26"/>
      <c r="C663" s="26"/>
    </row>
    <row r="664" spans="1:3">
      <c r="A664" s="32"/>
      <c r="B664" s="26"/>
      <c r="C664" s="26"/>
    </row>
    <row r="665" spans="1:3">
      <c r="A665" s="32"/>
      <c r="B665" s="26"/>
      <c r="C665" s="26"/>
    </row>
    <row r="666" spans="1:3">
      <c r="A666" s="32"/>
      <c r="B666" s="26"/>
      <c r="C666" s="26"/>
    </row>
    <row r="667" spans="1:3">
      <c r="A667" s="32"/>
      <c r="B667" s="26"/>
      <c r="C667" s="26"/>
    </row>
    <row r="668" spans="1:3">
      <c r="A668" s="32"/>
      <c r="B668" s="26"/>
      <c r="C668" s="26"/>
    </row>
    <row r="669" spans="1:3">
      <c r="A669" s="32"/>
      <c r="B669" s="26"/>
      <c r="C669" s="26"/>
    </row>
    <row r="670" spans="1:3">
      <c r="A670" s="32"/>
      <c r="B670" s="26"/>
      <c r="C670" s="26"/>
    </row>
    <row r="671" spans="1:3">
      <c r="A671" s="32"/>
      <c r="B671" s="26"/>
      <c r="C671" s="26"/>
    </row>
    <row r="672" spans="1:3">
      <c r="A672" s="32"/>
      <c r="B672" s="26"/>
      <c r="C672" s="26"/>
    </row>
    <row r="673" spans="1:3">
      <c r="A673" s="32"/>
      <c r="B673" s="26"/>
      <c r="C673" s="26"/>
    </row>
    <row r="674" spans="1:3">
      <c r="A674" s="32"/>
      <c r="B674" s="26"/>
      <c r="C674" s="26"/>
    </row>
    <row r="675" spans="1:3">
      <c r="A675" s="32"/>
      <c r="B675" s="26"/>
      <c r="C675" s="26"/>
    </row>
    <row r="676" spans="1:3">
      <c r="A676" s="32"/>
      <c r="B676" s="26"/>
      <c r="C676" s="26"/>
    </row>
    <row r="677" spans="1:3">
      <c r="A677" s="32"/>
      <c r="B677" s="26"/>
      <c r="C677" s="26"/>
    </row>
    <row r="678" spans="1:3">
      <c r="A678" s="32"/>
      <c r="B678" s="26"/>
      <c r="C678" s="26"/>
    </row>
    <row r="679" spans="1:3">
      <c r="A679" s="32"/>
      <c r="B679" s="26"/>
      <c r="C679" s="26"/>
    </row>
    <row r="680" spans="1:3">
      <c r="A680" s="32"/>
      <c r="B680" s="26"/>
      <c r="C680" s="26"/>
    </row>
    <row r="681" spans="1:3">
      <c r="A681" s="32"/>
      <c r="B681" s="26"/>
      <c r="C681" s="26"/>
    </row>
    <row r="682" spans="1:3">
      <c r="A682" s="32"/>
      <c r="B682" s="26"/>
      <c r="C682" s="26"/>
    </row>
    <row r="683" spans="1:3">
      <c r="A683" s="32"/>
      <c r="B683" s="26"/>
      <c r="C683" s="26"/>
    </row>
    <row r="684" spans="1:3">
      <c r="A684" s="32"/>
      <c r="B684" s="26"/>
      <c r="C684" s="26"/>
    </row>
    <row r="685" spans="1:3">
      <c r="A685" s="32"/>
      <c r="B685" s="26"/>
      <c r="C685" s="26"/>
    </row>
    <row r="686" spans="1:3">
      <c r="A686" s="32"/>
      <c r="B686" s="26"/>
      <c r="C686" s="26"/>
    </row>
    <row r="687" spans="1:3">
      <c r="A687" s="32"/>
      <c r="B687" s="26"/>
      <c r="C687" s="26"/>
    </row>
    <row r="688" spans="1:3">
      <c r="A688" s="32"/>
      <c r="B688" s="26"/>
      <c r="C688" s="26"/>
    </row>
    <row r="689" spans="1:3">
      <c r="A689" s="32"/>
      <c r="B689" s="26"/>
      <c r="C689" s="26"/>
    </row>
    <row r="690" spans="1:3">
      <c r="A690" s="32"/>
      <c r="B690" s="26"/>
      <c r="C690" s="26"/>
    </row>
    <row r="691" spans="1:3">
      <c r="A691" s="32"/>
      <c r="B691" s="26"/>
      <c r="C691" s="26"/>
    </row>
    <row r="692" spans="1:3">
      <c r="A692" s="32"/>
      <c r="B692" s="26"/>
      <c r="C692" s="26"/>
    </row>
    <row r="693" spans="1:3">
      <c r="A693" s="32"/>
      <c r="B693" s="26"/>
      <c r="C693" s="26"/>
    </row>
    <row r="694" spans="1:3">
      <c r="A694" s="32"/>
      <c r="B694" s="26"/>
      <c r="C694" s="26"/>
    </row>
    <row r="695" spans="1:3">
      <c r="A695" s="32"/>
      <c r="B695" s="26"/>
      <c r="C695" s="26"/>
    </row>
    <row r="696" spans="1:3">
      <c r="A696" s="32"/>
      <c r="B696" s="26"/>
      <c r="C696" s="26"/>
    </row>
    <row r="697" spans="1:3">
      <c r="A697" s="32"/>
      <c r="B697" s="26"/>
      <c r="C697" s="26"/>
    </row>
    <row r="698" spans="1:3">
      <c r="A698" s="32"/>
      <c r="B698" s="26"/>
      <c r="C698" s="26"/>
    </row>
    <row r="699" spans="1:3">
      <c r="A699" s="32"/>
      <c r="B699" s="26"/>
      <c r="C699" s="26"/>
    </row>
    <row r="700" spans="1:3">
      <c r="A700" s="32"/>
      <c r="B700" s="26"/>
      <c r="C700" s="26"/>
    </row>
    <row r="701" spans="1:3">
      <c r="A701" s="32"/>
      <c r="B701" s="26"/>
      <c r="C701" s="26"/>
    </row>
    <row r="702" spans="1:3">
      <c r="A702" s="32"/>
      <c r="B702" s="26"/>
      <c r="C702" s="26"/>
    </row>
    <row r="703" spans="1:3">
      <c r="A703" s="32"/>
      <c r="B703" s="26"/>
      <c r="C703" s="26"/>
    </row>
    <row r="704" spans="1:3">
      <c r="A704" s="32"/>
      <c r="B704" s="26"/>
      <c r="C704" s="26"/>
    </row>
    <row r="705" spans="1:3">
      <c r="A705" s="32"/>
      <c r="B705" s="26"/>
      <c r="C705" s="26"/>
    </row>
    <row r="706" spans="1:3">
      <c r="A706" s="32"/>
      <c r="B706" s="26"/>
      <c r="C706" s="26"/>
    </row>
    <row r="707" spans="1:3">
      <c r="A707" s="32"/>
      <c r="B707" s="26"/>
      <c r="C707" s="26"/>
    </row>
    <row r="708" spans="1:3">
      <c r="A708" s="32"/>
      <c r="B708" s="26"/>
      <c r="C708" s="26"/>
    </row>
    <row r="709" spans="1:3">
      <c r="A709" s="32"/>
      <c r="B709" s="26"/>
      <c r="C709" s="26"/>
    </row>
    <row r="710" spans="1:3">
      <c r="A710" s="32"/>
      <c r="B710" s="26"/>
      <c r="C710" s="26"/>
    </row>
    <row r="711" spans="1:3">
      <c r="A711" s="32"/>
      <c r="B711" s="26"/>
      <c r="C711" s="26"/>
    </row>
    <row r="712" spans="1:3">
      <c r="A712" s="32"/>
      <c r="B712" s="26"/>
      <c r="C712" s="26"/>
    </row>
    <row r="713" spans="1:3">
      <c r="A713" s="32"/>
      <c r="B713" s="26"/>
      <c r="C713" s="26"/>
    </row>
    <row r="714" spans="1:3">
      <c r="A714" s="32"/>
      <c r="B714" s="26"/>
      <c r="C714" s="26"/>
    </row>
    <row r="715" spans="1:3">
      <c r="A715" s="32"/>
      <c r="B715" s="26"/>
      <c r="C715" s="26"/>
    </row>
    <row r="716" spans="1:3">
      <c r="A716" s="32"/>
      <c r="B716" s="26"/>
      <c r="C716" s="26"/>
    </row>
    <row r="717" spans="1:3">
      <c r="A717" s="32"/>
      <c r="B717" s="26"/>
      <c r="C717" s="26"/>
    </row>
    <row r="718" spans="1:3">
      <c r="A718" s="32"/>
      <c r="B718" s="26"/>
      <c r="C718" s="26"/>
    </row>
    <row r="719" spans="1:3">
      <c r="A719" s="32"/>
      <c r="B719" s="26"/>
      <c r="C719" s="26"/>
    </row>
    <row r="720" spans="1:3">
      <c r="A720" s="32"/>
      <c r="B720" s="26"/>
      <c r="C720" s="26"/>
    </row>
    <row r="721" spans="1:3">
      <c r="A721" s="32"/>
      <c r="B721" s="26"/>
      <c r="C721" s="26"/>
    </row>
    <row r="722" spans="1:3">
      <c r="A722" s="32"/>
      <c r="B722" s="26"/>
      <c r="C722" s="26"/>
    </row>
    <row r="723" spans="1:3">
      <c r="A723" s="32"/>
      <c r="B723" s="26"/>
      <c r="C723" s="26"/>
    </row>
    <row r="724" spans="1:3">
      <c r="A724" s="32"/>
      <c r="B724" s="26"/>
      <c r="C724" s="26"/>
    </row>
    <row r="725" spans="1:3">
      <c r="A725" s="32"/>
      <c r="B725" s="26"/>
      <c r="C725" s="26"/>
    </row>
    <row r="726" spans="1:3">
      <c r="A726" s="32"/>
      <c r="B726" s="26"/>
      <c r="C726" s="26"/>
    </row>
    <row r="727" spans="1:3">
      <c r="A727" s="32"/>
      <c r="B727" s="26"/>
      <c r="C727" s="26"/>
    </row>
    <row r="728" spans="1:3">
      <c r="A728" s="32"/>
      <c r="B728" s="26"/>
      <c r="C728" s="26"/>
    </row>
    <row r="729" spans="1:3">
      <c r="A729" s="32"/>
      <c r="B729" s="26"/>
      <c r="C729" s="26"/>
    </row>
    <row r="730" spans="1:3">
      <c r="A730" s="32"/>
      <c r="B730" s="26"/>
      <c r="C730" s="26"/>
    </row>
    <row r="731" spans="1:3">
      <c r="A731" s="32"/>
      <c r="B731" s="26"/>
      <c r="C731" s="26"/>
    </row>
    <row r="732" spans="1:3">
      <c r="A732" s="32"/>
      <c r="B732" s="26"/>
      <c r="C732" s="26"/>
    </row>
    <row r="733" spans="1:3">
      <c r="A733" s="32"/>
      <c r="B733" s="26"/>
      <c r="C733" s="26"/>
    </row>
    <row r="734" spans="1:3">
      <c r="A734" s="32"/>
      <c r="B734" s="26"/>
      <c r="C734" s="26"/>
    </row>
    <row r="735" spans="1:3">
      <c r="A735" s="32"/>
      <c r="B735" s="26"/>
      <c r="C735" s="26"/>
    </row>
    <row r="736" spans="1:3">
      <c r="A736" s="32"/>
      <c r="B736" s="26"/>
      <c r="C736" s="26"/>
    </row>
    <row r="737" spans="1:3">
      <c r="A737" s="32"/>
      <c r="B737" s="26"/>
      <c r="C737" s="26"/>
    </row>
    <row r="738" spans="1:3">
      <c r="A738" s="32"/>
      <c r="B738" s="26"/>
      <c r="C738" s="26"/>
    </row>
    <row r="739" spans="1:3">
      <c r="A739" s="32"/>
      <c r="B739" s="26"/>
      <c r="C739" s="26"/>
    </row>
    <row r="740" spans="1:3">
      <c r="A740" s="32"/>
      <c r="B740" s="26"/>
      <c r="C740" s="26"/>
    </row>
    <row r="741" spans="1:3">
      <c r="A741" s="32"/>
      <c r="B741" s="26"/>
      <c r="C741" s="26"/>
    </row>
    <row r="742" spans="1:3">
      <c r="A742" s="32"/>
      <c r="B742" s="26"/>
      <c r="C742" s="26"/>
    </row>
    <row r="743" spans="1:3">
      <c r="A743" s="32"/>
      <c r="B743" s="26"/>
      <c r="C743" s="26"/>
    </row>
    <row r="744" spans="1:3">
      <c r="A744" s="32"/>
      <c r="B744" s="26"/>
      <c r="C744" s="26"/>
    </row>
    <row r="745" spans="1:3">
      <c r="A745" s="32"/>
      <c r="B745" s="26"/>
      <c r="C745" s="26"/>
    </row>
    <row r="746" spans="1:3">
      <c r="A746" s="32"/>
      <c r="B746" s="26"/>
      <c r="C746" s="26"/>
    </row>
    <row r="747" spans="1:3">
      <c r="A747" s="32"/>
      <c r="B747" s="26"/>
      <c r="C747" s="26"/>
    </row>
    <row r="748" spans="1:3">
      <c r="A748" s="32"/>
      <c r="B748" s="26"/>
      <c r="C748" s="26"/>
    </row>
    <row r="749" spans="1:3">
      <c r="A749" s="32"/>
      <c r="B749" s="26"/>
      <c r="C749" s="26"/>
    </row>
    <row r="750" spans="1:3">
      <c r="A750" s="32"/>
      <c r="B750" s="26"/>
      <c r="C750" s="26"/>
    </row>
    <row r="751" spans="1:3">
      <c r="A751" s="32"/>
      <c r="B751" s="26"/>
      <c r="C751" s="26"/>
    </row>
    <row r="752" spans="1:3">
      <c r="A752" s="32"/>
      <c r="B752" s="26"/>
      <c r="C752" s="26"/>
    </row>
    <row r="753" spans="1:3">
      <c r="A753" s="32"/>
      <c r="B753" s="26"/>
      <c r="C753" s="26"/>
    </row>
    <row r="754" spans="1:3">
      <c r="A754" s="32"/>
      <c r="B754" s="26"/>
      <c r="C754" s="26"/>
    </row>
    <row r="755" spans="1:3">
      <c r="A755" s="32"/>
      <c r="B755" s="26"/>
      <c r="C755" s="26"/>
    </row>
    <row r="756" spans="1:3">
      <c r="A756" s="32"/>
      <c r="B756" s="26"/>
      <c r="C756" s="26"/>
    </row>
    <row r="757" spans="1:3">
      <c r="A757" s="32"/>
      <c r="B757" s="26"/>
      <c r="C757" s="26"/>
    </row>
    <row r="758" spans="1:3">
      <c r="A758" s="32"/>
      <c r="B758" s="26"/>
      <c r="C758" s="26"/>
    </row>
    <row r="759" spans="1:3">
      <c r="A759" s="32"/>
      <c r="B759" s="26"/>
      <c r="C759" s="26"/>
    </row>
    <row r="760" spans="1:3">
      <c r="A760" s="32"/>
      <c r="B760" s="26"/>
      <c r="C760" s="26"/>
    </row>
    <row r="761" spans="1:3">
      <c r="A761" s="32"/>
      <c r="B761" s="26"/>
      <c r="C761" s="26"/>
    </row>
    <row r="762" spans="1:3">
      <c r="A762" s="32"/>
      <c r="B762" s="26"/>
      <c r="C762" s="26"/>
    </row>
    <row r="763" spans="1:3">
      <c r="A763" s="32"/>
      <c r="B763" s="26"/>
      <c r="C763" s="26"/>
    </row>
    <row r="764" spans="1:3">
      <c r="A764" s="32"/>
      <c r="B764" s="26"/>
      <c r="C764" s="26"/>
    </row>
    <row r="765" spans="1:3">
      <c r="A765" s="32"/>
      <c r="B765" s="26"/>
      <c r="C765" s="26"/>
    </row>
    <row r="766" spans="1:3">
      <c r="A766" s="32"/>
      <c r="B766" s="26"/>
      <c r="C766" s="26"/>
    </row>
    <row r="767" spans="1:3">
      <c r="A767" s="32"/>
      <c r="B767" s="26"/>
      <c r="C767" s="26"/>
    </row>
    <row r="768" spans="1:3">
      <c r="A768" s="32"/>
      <c r="B768" s="26"/>
      <c r="C768" s="26"/>
    </row>
    <row r="769" spans="1:3">
      <c r="A769" s="32"/>
      <c r="B769" s="26"/>
      <c r="C769" s="26"/>
    </row>
    <row r="770" spans="1:3">
      <c r="A770" s="32"/>
      <c r="B770" s="26"/>
      <c r="C770" s="26"/>
    </row>
    <row r="771" spans="1:3">
      <c r="A771" s="32"/>
      <c r="B771" s="26"/>
      <c r="C771" s="26"/>
    </row>
    <row r="772" spans="1:3">
      <c r="A772" s="32"/>
      <c r="B772" s="26"/>
      <c r="C772" s="26"/>
    </row>
    <row r="773" spans="1:3">
      <c r="A773" s="32"/>
      <c r="B773" s="26"/>
      <c r="C773" s="26"/>
    </row>
    <row r="774" spans="1:3">
      <c r="A774" s="32"/>
      <c r="B774" s="26"/>
      <c r="C774" s="26"/>
    </row>
    <row r="775" spans="1:3">
      <c r="A775" s="32"/>
      <c r="B775" s="26"/>
      <c r="C775" s="26"/>
    </row>
    <row r="776" spans="1:3">
      <c r="A776" s="32"/>
      <c r="B776" s="26"/>
      <c r="C776" s="26"/>
    </row>
    <row r="777" spans="1:3">
      <c r="A777" s="32"/>
      <c r="B777" s="26"/>
      <c r="C777" s="26"/>
    </row>
    <row r="778" spans="1:3">
      <c r="A778" s="32"/>
      <c r="B778" s="26"/>
      <c r="C778" s="26"/>
    </row>
    <row r="779" spans="1:3">
      <c r="A779" s="32"/>
      <c r="B779" s="26"/>
      <c r="C779" s="26"/>
    </row>
    <row r="780" spans="1:3">
      <c r="A780" s="32"/>
      <c r="B780" s="26"/>
      <c r="C780" s="26"/>
    </row>
    <row r="781" spans="1:3">
      <c r="A781" s="32"/>
      <c r="B781" s="26"/>
      <c r="C781" s="26"/>
    </row>
    <row r="782" spans="1:3">
      <c r="A782" s="32"/>
      <c r="B782" s="26"/>
      <c r="C782" s="26"/>
    </row>
    <row r="783" spans="1:3">
      <c r="A783" s="32"/>
      <c r="B783" s="26"/>
      <c r="C783" s="26"/>
    </row>
    <row r="784" spans="1:3">
      <c r="A784" s="32"/>
      <c r="B784" s="26"/>
      <c r="C784" s="26"/>
    </row>
    <row r="785" spans="1:3">
      <c r="A785" s="32"/>
      <c r="B785" s="26"/>
      <c r="C785" s="26"/>
    </row>
    <row r="786" spans="1:3">
      <c r="A786" s="32"/>
      <c r="B786" s="26"/>
      <c r="C786" s="26"/>
    </row>
    <row r="787" spans="1:3">
      <c r="A787" s="32"/>
      <c r="B787" s="26"/>
      <c r="C787" s="26"/>
    </row>
    <row r="788" spans="1:3">
      <c r="A788" s="32"/>
      <c r="B788" s="26"/>
      <c r="C788" s="26"/>
    </row>
    <row r="789" spans="1:3">
      <c r="A789" s="32"/>
      <c r="B789" s="26"/>
      <c r="C789" s="26"/>
    </row>
    <row r="790" spans="1:3">
      <c r="A790" s="32"/>
      <c r="B790" s="26"/>
      <c r="C790" s="26"/>
    </row>
    <row r="791" spans="1:3">
      <c r="A791" s="32"/>
      <c r="B791" s="26"/>
      <c r="C791" s="26"/>
    </row>
    <row r="792" spans="1:3">
      <c r="A792" s="32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tabSelected="1" zoomScaleNormal="100" workbookViewId="0">
      <selection activeCell="C4" sqref="C4"/>
    </sheetView>
  </sheetViews>
  <sheetFormatPr defaultRowHeight="18.75"/>
  <cols>
    <col min="1" max="1" width="11.25" customWidth="1"/>
    <col min="2" max="2" width="11.375" bestFit="1" customWidth="1"/>
    <col min="3" max="3" width="13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>"集計期間 "&amp;YEAR(C2)&amp;"年"&amp;MONTH(C2)&amp;"月"&amp;DAY(C2)&amp;"日 ～ "&amp;YEAR(D2)&amp;"年"&amp;MONTH(D2)&amp;"月"&amp;DAY(D2)&amp;"日"&amp;D1</f>
        <v>集計期間 2023年11月20日 ～ 2023年12月25日</v>
      </c>
      <c r="D1" t="str">
        <f>IF(COUNTIF(D4:D31,"ない")&gt;0,"*","")</f>
        <v/>
      </c>
      <c r="T1" t="s">
        <v>73</v>
      </c>
    </row>
    <row r="2" spans="1:22">
      <c r="A2" t="s">
        <v>182</v>
      </c>
      <c r="B2">
        <v>6</v>
      </c>
      <c r="C2" s="1">
        <f>MIN(テーブル1[日付])</f>
        <v>45250</v>
      </c>
      <c r="D2" s="1">
        <f>MAX(テーブル1[日付])</f>
        <v>45285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>DATE(2023,12,25)</f>
        <v>45285</v>
      </c>
      <c r="D4" t="str">
        <f>IF(ISERROR(MATCH(C4,テーブル1[日付],0)),"ない","ある")</f>
        <v>ある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>C4-1</f>
        <v>45284</v>
      </c>
      <c r="D5" t="str">
        <f>IF(ISERROR(MATCH(C5,テーブル1[日付],0)),"ない","ある")</f>
        <v>ある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2" si="0">C5-1</f>
        <v>45283</v>
      </c>
      <c r="D6" t="str">
        <f>IF(ISERROR(MATCH(C6,テーブル1[日付],0)),"ない","ある")</f>
        <v>ある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si="0"/>
        <v>45282</v>
      </c>
      <c r="D7" t="str">
        <f>IF(ISERROR(MATCH(C7,テーブル1[日付],0)),"ない","ある")</f>
        <v>ある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si="0"/>
        <v>45281</v>
      </c>
      <c r="D8" t="str">
        <f>IF(ISERROR(MATCH(C8,テーブル1[日付],0)),"ない","ある")</f>
        <v>ある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si="0"/>
        <v>45280</v>
      </c>
      <c r="D9" t="str">
        <f>IF(ISERROR(MATCH(C9,テーブル1[日付],0)),"ない","ある")</f>
        <v>ある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si="0"/>
        <v>45279</v>
      </c>
      <c r="D10" t="str">
        <f>IF(ISERROR(MATCH(C10,テーブル1[日付],0)),"ない","ある")</f>
        <v>ある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si="0"/>
        <v>45278</v>
      </c>
      <c r="D11" t="str">
        <f>IF(ISERROR(MATCH(C11,テーブル1[日付],0)),"ない","ある")</f>
        <v>ある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si="0"/>
        <v>45277</v>
      </c>
      <c r="D12" t="str">
        <f>IF(ISERROR(MATCH(C12,テーブル1[日付],0)),"ない","ある")</f>
        <v>ある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si="0"/>
        <v>45276</v>
      </c>
      <c r="D13" t="str">
        <f>IF(ISERROR(MATCH(C13,テーブル1[日付],0)),"ない","ある")</f>
        <v>ある</v>
      </c>
      <c r="T13" t="s">
        <v>85</v>
      </c>
      <c r="U13" t="s">
        <v>62</v>
      </c>
      <c r="V13" t="s">
        <v>128</v>
      </c>
    </row>
    <row r="14" spans="1:22">
      <c r="C14" s="1">
        <f t="shared" si="0"/>
        <v>45275</v>
      </c>
      <c r="D14" t="str">
        <f>IF(ISERROR(MATCH(C14,テーブル1[日付],0)),"ない","ある")</f>
        <v>ある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si="0"/>
        <v>45274</v>
      </c>
      <c r="D15" t="str">
        <f>IF(ISERROR(MATCH(C15,テーブル1[日付],0)),"ない","ある")</f>
        <v>ある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si="0"/>
        <v>45273</v>
      </c>
      <c r="D16" t="str">
        <f>IF(ISERROR(MATCH(C16,テーブル1[日付],0)),"ない","ある")</f>
        <v>ある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si="0"/>
        <v>45272</v>
      </c>
      <c r="D17" t="str">
        <f>IF(ISERROR(MATCH(C17,テーブル1[日付],0)),"ない","ある")</f>
        <v>ある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si="0"/>
        <v>45271</v>
      </c>
      <c r="D18" t="str">
        <f>IF(ISERROR(MATCH(C18,テーブル1[日付],0)),"ない","ある")</f>
        <v>ある</v>
      </c>
      <c r="T18" t="s">
        <v>91</v>
      </c>
      <c r="U18" t="s">
        <v>39</v>
      </c>
      <c r="V18" t="s">
        <v>133</v>
      </c>
    </row>
    <row r="19" spans="3:22">
      <c r="C19" s="1">
        <f t="shared" si="0"/>
        <v>45270</v>
      </c>
      <c r="D19" t="str">
        <f>IF(ISERROR(MATCH(C19,テーブル1[日付],0)),"ない","ある")</f>
        <v>ある</v>
      </c>
      <c r="T19" t="s">
        <v>90</v>
      </c>
      <c r="U19" t="s">
        <v>34</v>
      </c>
      <c r="V19" t="s">
        <v>134</v>
      </c>
    </row>
    <row r="20" spans="3:22">
      <c r="C20" s="1">
        <f t="shared" si="0"/>
        <v>45269</v>
      </c>
      <c r="D20" t="str">
        <f>IF(ISERROR(MATCH(C20,テーブル1[日付],0)),"ない","ある")</f>
        <v>ある</v>
      </c>
      <c r="T20" t="s">
        <v>92</v>
      </c>
      <c r="U20" t="s">
        <v>17</v>
      </c>
      <c r="V20" t="s">
        <v>135</v>
      </c>
    </row>
    <row r="21" spans="3:22">
      <c r="C21" s="1">
        <f t="shared" si="0"/>
        <v>45268</v>
      </c>
      <c r="D21" t="str">
        <f>IF(ISERROR(MATCH(C21,テーブル1[日付],0)),"ない","ある")</f>
        <v>ある</v>
      </c>
      <c r="T21" t="s">
        <v>93</v>
      </c>
      <c r="U21" t="s">
        <v>40</v>
      </c>
      <c r="V21" t="s">
        <v>136</v>
      </c>
    </row>
    <row r="22" spans="3:22">
      <c r="C22" s="1">
        <f t="shared" si="0"/>
        <v>45267</v>
      </c>
      <c r="D22" t="str">
        <f>IF(ISERROR(MATCH(C22,テーブル1[日付],0)),"ない","ある")</f>
        <v>ある</v>
      </c>
      <c r="T22" t="s">
        <v>94</v>
      </c>
      <c r="U22" t="s">
        <v>20</v>
      </c>
      <c r="V22" t="s">
        <v>137</v>
      </c>
    </row>
    <row r="23" spans="3:22">
      <c r="C23" s="1">
        <f t="shared" si="0"/>
        <v>45266</v>
      </c>
      <c r="D23" t="str">
        <f>IF(ISERROR(MATCH(C23,テーブル1[日付],0)),"ない","ある")</f>
        <v>ある</v>
      </c>
      <c r="T23" t="s">
        <v>95</v>
      </c>
      <c r="U23" t="s">
        <v>50</v>
      </c>
      <c r="V23" t="s">
        <v>138</v>
      </c>
    </row>
    <row r="24" spans="3:22">
      <c r="C24" s="1">
        <f t="shared" si="0"/>
        <v>45265</v>
      </c>
      <c r="D24" t="str">
        <f>IF(ISERROR(MATCH(C24,テーブル1[日付],0)),"ない","ある")</f>
        <v>ある</v>
      </c>
      <c r="T24" t="s">
        <v>96</v>
      </c>
      <c r="U24" t="s">
        <v>23</v>
      </c>
      <c r="V24" t="s">
        <v>139</v>
      </c>
    </row>
    <row r="25" spans="3:22">
      <c r="C25" s="1">
        <f t="shared" si="0"/>
        <v>45264</v>
      </c>
      <c r="D25" t="str">
        <f>IF(ISERROR(MATCH(C25,テーブル1[日付],0)),"ない","ある")</f>
        <v>ある</v>
      </c>
      <c r="T25" t="s">
        <v>97</v>
      </c>
      <c r="U25" t="s">
        <v>35</v>
      </c>
      <c r="V25" t="s">
        <v>140</v>
      </c>
    </row>
    <row r="26" spans="3:22">
      <c r="C26" s="1">
        <f t="shared" si="0"/>
        <v>45263</v>
      </c>
      <c r="D26" t="str">
        <f>IF(ISERROR(MATCH(C26,テーブル1[日付],0)),"ない","ある")</f>
        <v>ある</v>
      </c>
      <c r="T26" t="s">
        <v>98</v>
      </c>
      <c r="U26" t="s">
        <v>13</v>
      </c>
      <c r="V26" t="s">
        <v>141</v>
      </c>
    </row>
    <row r="27" spans="3:22">
      <c r="C27" s="1">
        <f t="shared" si="0"/>
        <v>45262</v>
      </c>
      <c r="D27" t="str">
        <f>IF(ISERROR(MATCH(C27,テーブル1[日付],0)),"ない","ある")</f>
        <v>ある</v>
      </c>
      <c r="T27" t="s">
        <v>99</v>
      </c>
      <c r="U27" t="s">
        <v>29</v>
      </c>
      <c r="V27" t="s">
        <v>142</v>
      </c>
    </row>
    <row r="28" spans="3:22">
      <c r="C28" s="1">
        <f t="shared" si="0"/>
        <v>45261</v>
      </c>
      <c r="D28" t="str">
        <f>IF(ISERROR(MATCH(C28,テーブル1[日付],0)),"ない","ある")</f>
        <v>ある</v>
      </c>
      <c r="T28" t="s">
        <v>100</v>
      </c>
      <c r="U28" t="s">
        <v>42</v>
      </c>
      <c r="V28" t="s">
        <v>143</v>
      </c>
    </row>
    <row r="29" spans="3:22">
      <c r="C29" s="1">
        <f t="shared" si="0"/>
        <v>45260</v>
      </c>
      <c r="D29" t="str">
        <f>IF(ISERROR(MATCH(C29,テーブル1[日付],0)),"ない","ある")</f>
        <v>ある</v>
      </c>
      <c r="T29" t="s">
        <v>101</v>
      </c>
      <c r="U29" t="s">
        <v>30</v>
      </c>
      <c r="V29" t="s">
        <v>144</v>
      </c>
    </row>
    <row r="30" spans="3:22">
      <c r="C30" s="1">
        <f t="shared" si="0"/>
        <v>45259</v>
      </c>
      <c r="D30" t="str">
        <f>IF(ISERROR(MATCH(C30,テーブル1[日付],0)),"ない","ある")</f>
        <v>ある</v>
      </c>
      <c r="T30" t="s">
        <v>102</v>
      </c>
      <c r="U30" t="s">
        <v>15</v>
      </c>
      <c r="V30" t="s">
        <v>145</v>
      </c>
    </row>
    <row r="31" spans="3:22">
      <c r="C31" s="1">
        <f>C30-1</f>
        <v>45258</v>
      </c>
      <c r="D31" t="str">
        <f>IF(ISERROR(MATCH(C31,テーブル1[日付],0)),"ない","ある")</f>
        <v>ある</v>
      </c>
      <c r="T31" t="s">
        <v>103</v>
      </c>
      <c r="U31" t="s">
        <v>49</v>
      </c>
      <c r="V31" t="s">
        <v>146</v>
      </c>
    </row>
    <row r="32" spans="3:22">
      <c r="C32" s="1">
        <f t="shared" si="0"/>
        <v>45257</v>
      </c>
      <c r="D32" t="str">
        <f>IF(ISERROR(MATCH(C32,テーブル1[日付],0)),"ない","ある")</f>
        <v>ある</v>
      </c>
      <c r="T32" t="s">
        <v>104</v>
      </c>
      <c r="U32" t="s">
        <v>12</v>
      </c>
      <c r="V32" t="s">
        <v>147</v>
      </c>
    </row>
    <row r="33" spans="3:22">
      <c r="C33" s="1">
        <f>C32-1</f>
        <v>45256</v>
      </c>
      <c r="D33" t="str">
        <f>IF(ISERROR(MATCH(C33,テーブル1[日付],0)),"ない","ある")</f>
        <v>ある</v>
      </c>
      <c r="T33" t="s">
        <v>105</v>
      </c>
      <c r="U33" t="s">
        <v>46</v>
      </c>
      <c r="V33" t="s">
        <v>148</v>
      </c>
    </row>
    <row r="34" spans="3:22">
      <c r="T34" t="s">
        <v>106</v>
      </c>
      <c r="U34" t="s">
        <v>28</v>
      </c>
      <c r="V34" t="s">
        <v>149</v>
      </c>
    </row>
    <row r="35" spans="3:22">
      <c r="T35" t="s">
        <v>107</v>
      </c>
      <c r="U35" t="s">
        <v>22</v>
      </c>
      <c r="V35" t="s">
        <v>150</v>
      </c>
    </row>
    <row r="36" spans="3:22">
      <c r="T36" t="s">
        <v>108</v>
      </c>
      <c r="U36" t="s">
        <v>14</v>
      </c>
      <c r="V36" t="s">
        <v>151</v>
      </c>
    </row>
    <row r="37" spans="3:22">
      <c r="T37" t="s">
        <v>109</v>
      </c>
      <c r="U37" t="s">
        <v>48</v>
      </c>
      <c r="V37" t="s">
        <v>152</v>
      </c>
    </row>
    <row r="38" spans="3:22">
      <c r="T38" t="s">
        <v>110</v>
      </c>
      <c r="V38" t="s">
        <v>153</v>
      </c>
    </row>
    <row r="39" spans="3:22">
      <c r="T39" t="s">
        <v>111</v>
      </c>
      <c r="V39" t="s">
        <v>154</v>
      </c>
    </row>
    <row r="40" spans="3:22">
      <c r="T40" t="s">
        <v>112</v>
      </c>
      <c r="V40" t="s">
        <v>155</v>
      </c>
    </row>
    <row r="41" spans="3:22">
      <c r="T41" t="s">
        <v>113</v>
      </c>
      <c r="V41" t="s">
        <v>156</v>
      </c>
    </row>
    <row r="42" spans="3:22">
      <c r="T42" t="s">
        <v>114</v>
      </c>
      <c r="V42" t="s">
        <v>157</v>
      </c>
    </row>
    <row r="43" spans="3:22">
      <c r="T43" t="s">
        <v>115</v>
      </c>
      <c r="V43" t="s">
        <v>158</v>
      </c>
    </row>
    <row r="44" spans="3:22">
      <c r="T44" t="s">
        <v>116</v>
      </c>
      <c r="V44" t="s">
        <v>160</v>
      </c>
    </row>
    <row r="45" spans="3:22">
      <c r="V45" t="s">
        <v>161</v>
      </c>
    </row>
    <row r="46" spans="3:22">
      <c r="V46" t="s">
        <v>162</v>
      </c>
    </row>
    <row r="47" spans="3:22">
      <c r="V47" t="s">
        <v>163</v>
      </c>
    </row>
    <row r="48" spans="3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3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3" t="s">
        <v>61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Records!B37:B37</v>
      </c>
      <c r="AY1" t="str">
        <f t="shared" si="0"/>
        <v>Records!B36:B36</v>
      </c>
      <c r="AZ1" t="str">
        <f t="shared" si="0"/>
        <v>Records!B35:B35</v>
      </c>
      <c r="BA1" t="str">
        <f t="shared" si="0"/>
        <v>Records!B34:B34</v>
      </c>
      <c r="BB1" t="str">
        <f t="shared" si="0"/>
        <v>Records!B33:B33</v>
      </c>
      <c r="BC1" t="str">
        <f t="shared" si="0"/>
        <v>Records!B32:B32</v>
      </c>
      <c r="BD1" t="str">
        <f t="shared" si="0"/>
        <v>Records!B31:B31</v>
      </c>
      <c r="BE1" t="str">
        <f t="shared" ref="BE1:BY1" si="1">$A$2&amp;INDEX($D$4:$D$32,MATCH(BE$5,$B$4:$B$33,0))</f>
        <v>Records!B30:B30</v>
      </c>
      <c r="BF1" t="str">
        <f t="shared" si="1"/>
        <v>Records!B29:B29</v>
      </c>
      <c r="BG1" t="str">
        <f t="shared" si="1"/>
        <v>Records!B28:B28</v>
      </c>
      <c r="BH1" t="str">
        <f t="shared" si="1"/>
        <v>Records!B27:B27</v>
      </c>
      <c r="BI1" t="str">
        <f t="shared" si="1"/>
        <v>Records!B26:B26</v>
      </c>
      <c r="BJ1" t="str">
        <f t="shared" si="1"/>
        <v>Records!B25:B25</v>
      </c>
      <c r="BK1" t="str">
        <f t="shared" si="1"/>
        <v>Records!B24:B24</v>
      </c>
      <c r="BL1" t="str">
        <f t="shared" si="1"/>
        <v>Records!B23:B23</v>
      </c>
      <c r="BM1" t="str">
        <f t="shared" si="1"/>
        <v>Records!B22:B22</v>
      </c>
      <c r="BN1" t="str">
        <f t="shared" si="1"/>
        <v>Records!B21:B21</v>
      </c>
      <c r="BO1" t="str">
        <f t="shared" si="1"/>
        <v>Records!B20:B20</v>
      </c>
      <c r="BP1" t="str">
        <f t="shared" si="1"/>
        <v>Records!B19:B19</v>
      </c>
      <c r="BQ1" t="str">
        <f t="shared" si="1"/>
        <v>Records!B18:B18</v>
      </c>
      <c r="BR1" t="str">
        <f t="shared" si="1"/>
        <v>Records!B17:B17</v>
      </c>
      <c r="BS1" t="str">
        <f t="shared" si="1"/>
        <v>Records!B16:B16</v>
      </c>
      <c r="BT1" t="str">
        <f t="shared" si="1"/>
        <v>Records!B15:B15</v>
      </c>
      <c r="BU1" t="str">
        <f t="shared" si="1"/>
        <v>Records!B14:B14</v>
      </c>
      <c r="BV1" t="str">
        <f t="shared" si="1"/>
        <v>Records!B13:B13</v>
      </c>
      <c r="BW1" t="str">
        <f t="shared" si="1"/>
        <v>Records!B12:B12</v>
      </c>
      <c r="BX1" t="str">
        <f t="shared" si="1"/>
        <v>Records!B11:B11</v>
      </c>
      <c r="BY1" t="str">
        <f t="shared" si="1"/>
        <v>Records!B10:B10</v>
      </c>
      <c r="BZ1" t="str">
        <f>$A$2&amp;INDEX($D$4:$D$32,MATCH(BZ$5,$B$4:$B$33,0))</f>
        <v>Records!B9:B9</v>
      </c>
    </row>
    <row r="2" spans="1:78">
      <c r="A2" s="7" t="s">
        <v>53</v>
      </c>
      <c r="B2" s="1">
        <f>MAX(テーブル1[日付])</f>
        <v>45285</v>
      </c>
      <c r="F2" s="2" t="s">
        <v>3</v>
      </c>
      <c r="T2" s="33" t="s">
        <v>57</v>
      </c>
      <c r="U2" s="33"/>
      <c r="V2" s="33"/>
      <c r="W2" s="33"/>
      <c r="X2" s="33"/>
      <c r="Y2" s="33"/>
      <c r="Z2" s="33"/>
      <c r="AA2" s="33"/>
      <c r="AB2" s="33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Records!C37:C37</v>
      </c>
      <c r="AY2" t="str">
        <f t="shared" si="2"/>
        <v>Records!C36:C36</v>
      </c>
      <c r="AZ2" t="str">
        <f t="shared" si="2"/>
        <v>Records!C35:C35</v>
      </c>
      <c r="BA2" t="str">
        <f t="shared" si="2"/>
        <v>Records!C34:C34</v>
      </c>
      <c r="BB2" t="str">
        <f t="shared" si="2"/>
        <v>Records!C33:C33</v>
      </c>
      <c r="BC2" t="str">
        <f t="shared" si="2"/>
        <v>Records!C32:C32</v>
      </c>
      <c r="BD2" t="str">
        <f t="shared" si="2"/>
        <v>Records!C31:C31</v>
      </c>
      <c r="BE2" t="str">
        <f t="shared" ref="BE2:BZ2" si="3">$A$2&amp;INDEX($E$4:$E$32,MATCH(BE$5,$B$4:$B$33,0))</f>
        <v>Records!C30:C30</v>
      </c>
      <c r="BF2" t="str">
        <f t="shared" si="3"/>
        <v>Records!C29:C29</v>
      </c>
      <c r="BG2" t="str">
        <f t="shared" si="3"/>
        <v>Records!C28:C28</v>
      </c>
      <c r="BH2" t="str">
        <f t="shared" si="3"/>
        <v>Records!C27:C27</v>
      </c>
      <c r="BI2" t="str">
        <f t="shared" si="3"/>
        <v>Records!C26:C26</v>
      </c>
      <c r="BJ2" t="str">
        <f t="shared" si="3"/>
        <v>Records!C25:C25</v>
      </c>
      <c r="BK2" t="str">
        <f t="shared" si="3"/>
        <v>Records!C24:C24</v>
      </c>
      <c r="BL2" t="str">
        <f t="shared" si="3"/>
        <v>Records!C23:C23</v>
      </c>
      <c r="BM2" t="str">
        <f t="shared" si="3"/>
        <v>Records!C22:C22</v>
      </c>
      <c r="BN2" t="str">
        <f t="shared" si="3"/>
        <v>Records!C21:C21</v>
      </c>
      <c r="BO2" t="str">
        <f t="shared" si="3"/>
        <v>Records!C20:C20</v>
      </c>
      <c r="BP2" t="str">
        <f t="shared" si="3"/>
        <v>Records!C19:C19</v>
      </c>
      <c r="BQ2" t="str">
        <f t="shared" si="3"/>
        <v>Records!C18:C18</v>
      </c>
      <c r="BR2" t="str">
        <f t="shared" si="3"/>
        <v>Records!C17:C17</v>
      </c>
      <c r="BS2" t="str">
        <f t="shared" si="3"/>
        <v>Records!C16:C16</v>
      </c>
      <c r="BT2" t="str">
        <f t="shared" si="3"/>
        <v>Records!C15:C15</v>
      </c>
      <c r="BU2" t="str">
        <f t="shared" si="3"/>
        <v>Records!C14:C14</v>
      </c>
      <c r="BV2" t="str">
        <f t="shared" si="3"/>
        <v>Records!C13:C13</v>
      </c>
      <c r="BW2" t="str">
        <f t="shared" si="3"/>
        <v>Records!C12:C12</v>
      </c>
      <c r="BX2" t="str">
        <f t="shared" si="3"/>
        <v>Records!C11:C11</v>
      </c>
      <c r="BY2" t="str">
        <f t="shared" si="3"/>
        <v>Records!C10:C10</v>
      </c>
      <c r="BZ2" t="str">
        <f t="shared" si="3"/>
        <v>Records!C9:C9</v>
      </c>
    </row>
    <row r="3" spans="1:78">
      <c r="A3" s="1" t="s">
        <v>45</v>
      </c>
      <c r="B3" s="1" t="s">
        <v>0</v>
      </c>
      <c r="C3" s="4" t="s">
        <v>55</v>
      </c>
      <c r="D3" s="33" t="s">
        <v>56</v>
      </c>
      <c r="E3" s="33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45285</v>
      </c>
      <c r="C4" s="4">
        <f>MATCH(B4,テーブル1[日付],0)+1</f>
        <v>37</v>
      </c>
      <c r="D4" t="str">
        <f>ADDRESS(C4,2,4,1)&amp;":"&amp;ADDRESS(C4+COUNTIF(テーブル1[日付],日毎の人員構成・人員別日毎の従事ライン!B4)-1,2,4,1)</f>
        <v>B37:B37</v>
      </c>
      <c r="E4" t="str">
        <f>ADDRESS(C4,3,4,1)&amp;":"&amp;ADDRESS($C4+COUNTIF(テーブル1[日付],日毎の人員構成・人員別日毎の従事ライン!B4)-1,3,4,1)</f>
        <v>C37:C37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45284</v>
      </c>
      <c r="C5" s="4">
        <f>MATCH(B5,テーブル1[日付],0)+1</f>
        <v>36</v>
      </c>
      <c r="D5" t="str">
        <f>ADDRESS(C5,2,4,1)&amp;":"&amp;ADDRESS(C5+COUNTIF(テーブル1[日付],日毎の人員構成・人員別日毎の従事ライン!B5)-1,2,4,1)</f>
        <v>B36:B36</v>
      </c>
      <c r="E5" t="str">
        <f>ADDRESS(C5,3,4,1)&amp;":"&amp;ADDRESS($C5+COUNTIF(テーブル1[日付],日毎の人員構成・人員別日毎の従事ライン!B5)-1,3,4,1)</f>
        <v>C36:C36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45285</v>
      </c>
      <c r="AY5" s="18">
        <f t="shared" ref="AY5:BD5" si="25">AX5-1</f>
        <v>45284</v>
      </c>
      <c r="AZ5" s="18">
        <f t="shared" si="25"/>
        <v>45283</v>
      </c>
      <c r="BA5" s="18">
        <f t="shared" si="25"/>
        <v>45282</v>
      </c>
      <c r="BB5" s="18">
        <f t="shared" si="25"/>
        <v>45281</v>
      </c>
      <c r="BC5" s="18">
        <f t="shared" si="25"/>
        <v>45280</v>
      </c>
      <c r="BD5" s="18">
        <f t="shared" si="25"/>
        <v>45279</v>
      </c>
      <c r="BE5" s="18">
        <f t="shared" ref="BE5" si="26">BD5-1</f>
        <v>45278</v>
      </c>
      <c r="BF5" s="18">
        <f t="shared" ref="BF5" si="27">BE5-1</f>
        <v>45277</v>
      </c>
      <c r="BG5" s="18">
        <f t="shared" ref="BG5" si="28">BF5-1</f>
        <v>45276</v>
      </c>
      <c r="BH5" s="18">
        <f t="shared" ref="BH5" si="29">BG5-1</f>
        <v>45275</v>
      </c>
      <c r="BI5" s="18">
        <f t="shared" ref="BI5" si="30">BH5-1</f>
        <v>45274</v>
      </c>
      <c r="BJ5" s="18">
        <f t="shared" ref="BJ5" si="31">BI5-1</f>
        <v>45273</v>
      </c>
      <c r="BK5" s="18">
        <f t="shared" ref="BK5" si="32">BJ5-1</f>
        <v>45272</v>
      </c>
      <c r="BL5" s="18">
        <f t="shared" ref="BL5" si="33">BK5-1</f>
        <v>45271</v>
      </c>
      <c r="BM5" s="18">
        <f t="shared" ref="BM5" si="34">BL5-1</f>
        <v>45270</v>
      </c>
      <c r="BN5" s="18">
        <f t="shared" ref="BN5" si="35">BM5-1</f>
        <v>45269</v>
      </c>
      <c r="BO5" s="18">
        <f t="shared" ref="BO5" si="36">BN5-1</f>
        <v>45268</v>
      </c>
      <c r="BP5" s="18">
        <f t="shared" ref="BP5" si="37">BO5-1</f>
        <v>45267</v>
      </c>
      <c r="BQ5" s="18">
        <f t="shared" ref="BQ5" si="38">BP5-1</f>
        <v>45266</v>
      </c>
      <c r="BR5" s="18">
        <f t="shared" ref="BR5" si="39">BQ5-1</f>
        <v>45265</v>
      </c>
      <c r="BS5" s="18">
        <f t="shared" ref="BS5" si="40">BR5-1</f>
        <v>45264</v>
      </c>
      <c r="BT5" s="18">
        <f t="shared" ref="BT5" si="41">BS5-1</f>
        <v>45263</v>
      </c>
      <c r="BU5" s="18">
        <f t="shared" ref="BU5" si="42">BT5-1</f>
        <v>45262</v>
      </c>
      <c r="BV5" s="18">
        <f t="shared" ref="BV5" si="43">BU5-1</f>
        <v>45261</v>
      </c>
      <c r="BW5" s="18">
        <f t="shared" ref="BW5" si="44">BV5-1</f>
        <v>45260</v>
      </c>
      <c r="BX5" s="18">
        <f t="shared" ref="BX5" si="45">BW5-1</f>
        <v>45259</v>
      </c>
      <c r="BY5" s="18">
        <f t="shared" ref="BY5" si="46">BX5-1</f>
        <v>45258</v>
      </c>
      <c r="BZ5" s="18">
        <f t="shared" ref="BZ5" si="47">BY5-1</f>
        <v>45257</v>
      </c>
    </row>
    <row r="6" spans="1:78">
      <c r="A6">
        <v>-2</v>
      </c>
      <c r="B6" s="1">
        <f t="shared" si="11"/>
        <v>45283</v>
      </c>
      <c r="C6" s="4">
        <f>MATCH(B6,テーブル1[日付],0)+1</f>
        <v>35</v>
      </c>
      <c r="D6" t="str">
        <f>ADDRESS(C6,2,4,1)&amp;":"&amp;ADDRESS(C6+COUNTIF(テーブル1[日付],日毎の人員構成・人員別日毎の従事ライン!B6)-1,2,4,1)</f>
        <v>B35:B35</v>
      </c>
      <c r="E6" t="str">
        <f>ADDRESS(C6,3,4,1)&amp;":"&amp;ADDRESS($C6+COUNTIF(テーブル1[日付],日毎の人員構成・人員別日毎の従事ライン!B6)-1,3,4,1)</f>
        <v>C35:C35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45285</v>
      </c>
      <c r="AK6" s="9" t="str">
        <f>" ("&amp;CHOOSE(WEEKDAY(AJ6,1),"日","月","火","水","木","金","土")&amp;")"</f>
        <v xml:space="preserve"> (月)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月</v>
      </c>
      <c r="AY6" s="17" t="str">
        <f t="shared" ref="AY6:BD6" si="50">CHOOSE(WEEKDAY(AY5,1),"日","月","火","水","木","金","土")</f>
        <v>日</v>
      </c>
      <c r="AZ6" s="17" t="str">
        <f t="shared" si="50"/>
        <v>土</v>
      </c>
      <c r="BA6" s="17" t="str">
        <f t="shared" si="50"/>
        <v>金</v>
      </c>
      <c r="BB6" s="17" t="str">
        <f t="shared" si="50"/>
        <v>木</v>
      </c>
      <c r="BC6" s="17" t="str">
        <f t="shared" si="50"/>
        <v>水</v>
      </c>
      <c r="BD6" s="17" t="str">
        <f t="shared" si="50"/>
        <v>火</v>
      </c>
      <c r="BE6" s="17" t="str">
        <f t="shared" ref="BE6" si="51">CHOOSE(WEEKDAY(BE5,1),"日","月","火","水","木","金","土")</f>
        <v>月</v>
      </c>
      <c r="BF6" s="17" t="str">
        <f t="shared" ref="BF6" si="52">CHOOSE(WEEKDAY(BF5,1),"日","月","火","水","木","金","土")</f>
        <v>日</v>
      </c>
      <c r="BG6" s="17" t="str">
        <f t="shared" ref="BG6" si="53">CHOOSE(WEEKDAY(BG5,1),"日","月","火","水","木","金","土")</f>
        <v>土</v>
      </c>
      <c r="BH6" s="17" t="str">
        <f t="shared" ref="BH6" si="54">CHOOSE(WEEKDAY(BH5,1),"日","月","火","水","木","金","土")</f>
        <v>金</v>
      </c>
      <c r="BI6" s="17" t="str">
        <f t="shared" ref="BI6" si="55">CHOOSE(WEEKDAY(BI5,1),"日","月","火","水","木","金","土")</f>
        <v>木</v>
      </c>
      <c r="BJ6" s="17" t="str">
        <f t="shared" ref="BJ6" si="56">CHOOSE(WEEKDAY(BJ5,1),"日","月","火","水","木","金","土")</f>
        <v>水</v>
      </c>
      <c r="BK6" s="17" t="str">
        <f t="shared" ref="BK6" si="57">CHOOSE(WEEKDAY(BK5,1),"日","月","火","水","木","金","土")</f>
        <v>火</v>
      </c>
      <c r="BL6" s="17" t="str">
        <f t="shared" ref="BL6" si="58">CHOOSE(WEEKDAY(BL5,1),"日","月","火","水","木","金","土")</f>
        <v>月</v>
      </c>
      <c r="BM6" s="17" t="str">
        <f t="shared" ref="BM6" si="59">CHOOSE(WEEKDAY(BM5,1),"日","月","火","水","木","金","土")</f>
        <v>日</v>
      </c>
      <c r="BN6" s="17" t="str">
        <f t="shared" ref="BN6" si="60">CHOOSE(WEEKDAY(BN5,1),"日","月","火","水","木","金","土")</f>
        <v>土</v>
      </c>
      <c r="BO6" s="17" t="str">
        <f t="shared" ref="BO6" si="61">CHOOSE(WEEKDAY(BO5,1),"日","月","火","水","木","金","土")</f>
        <v>金</v>
      </c>
      <c r="BP6" s="17" t="str">
        <f t="shared" ref="BP6" si="62">CHOOSE(WEEKDAY(BP5,1),"日","月","火","水","木","金","土")</f>
        <v>木</v>
      </c>
      <c r="BQ6" s="17" t="str">
        <f t="shared" ref="BQ6" si="63">CHOOSE(WEEKDAY(BQ5,1),"日","月","火","水","木","金","土")</f>
        <v>水</v>
      </c>
      <c r="BR6" s="17" t="str">
        <f t="shared" ref="BR6" si="64">CHOOSE(WEEKDAY(BR5,1),"日","月","火","水","木","金","土")</f>
        <v>火</v>
      </c>
      <c r="BS6" s="17" t="str">
        <f t="shared" ref="BS6" si="65">CHOOSE(WEEKDAY(BS5,1),"日","月","火","水","木","金","土")</f>
        <v>月</v>
      </c>
      <c r="BT6" s="17" t="str">
        <f t="shared" ref="BT6" si="66">CHOOSE(WEEKDAY(BT5,1),"日","月","火","水","木","金","土")</f>
        <v>日</v>
      </c>
      <c r="BU6" s="17" t="str">
        <f t="shared" ref="BU6" si="67">CHOOSE(WEEKDAY(BU5,1),"日","月","火","水","木","金","土")</f>
        <v>土</v>
      </c>
      <c r="BV6" s="17" t="str">
        <f t="shared" ref="BV6" si="68">CHOOSE(WEEKDAY(BV5,1),"日","月","火","水","木","金","土")</f>
        <v>金</v>
      </c>
      <c r="BW6" s="17" t="str">
        <f t="shared" ref="BW6" si="69">CHOOSE(WEEKDAY(BW5,1),"日","月","火","水","木","金","土")</f>
        <v>木</v>
      </c>
      <c r="BX6" s="17" t="str">
        <f t="shared" ref="BX6" si="70">CHOOSE(WEEKDAY(BX5,1),"日","月","火","水","木","金","土")</f>
        <v>水</v>
      </c>
      <c r="BY6" s="17" t="str">
        <f t="shared" ref="BY6" si="71">CHOOSE(WEEKDAY(BY5,1),"日","月","火","水","木","金","土")</f>
        <v>火</v>
      </c>
      <c r="BZ6" s="17" t="str">
        <f t="shared" ref="BZ6" si="72">CHOOSE(WEEKDAY(BZ5,1),"日","月","火","水","木","金","土")</f>
        <v>月</v>
      </c>
    </row>
    <row r="7" spans="1:78">
      <c r="A7">
        <v>-3</v>
      </c>
      <c r="B7" s="1">
        <f t="shared" si="11"/>
        <v>45282</v>
      </c>
      <c r="C7" s="4">
        <f>MATCH(B7,テーブル1[日付],0)+1</f>
        <v>34</v>
      </c>
      <c r="D7" t="str">
        <f>ADDRESS(C7,2,4,1)&amp;":"&amp;ADDRESS(C7+COUNTIF(テーブル1[日付],日毎の人員構成・人員別日毎の従事ライン!B7)-1,2,4,1)</f>
        <v>B34:B34</v>
      </c>
      <c r="E7" t="str">
        <f>ADDRESS(C7,3,4,1)&amp;":"&amp;ADDRESS($C7+COUNTIF(テーブル1[日付],日毎の人員構成・人員別日毎の従事ライン!B7)-1,3,4,1)</f>
        <v>C34:C34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45281</v>
      </c>
      <c r="C8" s="4">
        <f>MATCH(B8,テーブル1[日付],0)+1</f>
        <v>33</v>
      </c>
      <c r="D8" t="str">
        <f>ADDRESS(C8,2,4,1)&amp;":"&amp;ADDRESS(C8+COUNTIF(テーブル1[日付],日毎の人員構成・人員別日毎の従事ライン!B8)-1,2,4,1)</f>
        <v>B33:B33</v>
      </c>
      <c r="E8" t="str">
        <f>ADDRESS(C8,3,4,1)&amp;":"&amp;ADDRESS($C8+COUNTIF(テーブル1[日付],日毎の人員構成・人員別日毎の従事ライン!B8)-1,3,4,1)</f>
        <v>C33:C33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45280</v>
      </c>
      <c r="C9" s="4">
        <f>MATCH(B9,テーブル1[日付],0)+1</f>
        <v>32</v>
      </c>
      <c r="D9" t="str">
        <f>ADDRESS(C9,2,4,1)&amp;":"&amp;ADDRESS(C9+COUNTIF(テーブル1[日付],日毎の人員構成・人員別日毎の従事ライン!B9)-1,2,4,1)</f>
        <v>B32:B32</v>
      </c>
      <c r="E9" t="str">
        <f>ADDRESS(C9,3,4,1)&amp;":"&amp;ADDRESS($C9+COUNTIF(テーブル1[日付],日毎の人員構成・人員別日毎の従事ライン!B9)-1,3,4,1)</f>
        <v>C32:C32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45279</v>
      </c>
      <c r="C10" s="4">
        <f>MATCH(B10,テーブル1[日付],0)+1</f>
        <v>31</v>
      </c>
      <c r="D10" t="str">
        <f>ADDRESS(C10,2,4,1)&amp;":"&amp;ADDRESS(C10+COUNTIF(テーブル1[日付],日毎の人員構成・人員別日毎の従事ライン!B10)-1,2,4,1)</f>
        <v>B31:B31</v>
      </c>
      <c r="E10" t="str">
        <f>ADDRESS(C10,3,4,1)&amp;":"&amp;ADDRESS($C10+COUNTIF(テーブル1[日付],日毎の人員構成・人員別日毎の従事ライン!B10)-1,3,4,1)</f>
        <v>C31:C31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45278</v>
      </c>
      <c r="C11" s="4">
        <f>MATCH(B11,テーブル1[日付],0)+1</f>
        <v>30</v>
      </c>
      <c r="D11" t="str">
        <f>ADDRESS(C11,2,4,1)&amp;":"&amp;ADDRESS(C11+COUNTIF(テーブル1[日付],日毎の人員構成・人員別日毎の従事ライン!B11)-1,2,4,1)</f>
        <v>B30:B30</v>
      </c>
      <c r="E11" t="str">
        <f>ADDRESS(C11,3,4,1)&amp;":"&amp;ADDRESS($C11+COUNTIF(テーブル1[日付],日毎の人員構成・人員別日毎の従事ライン!B11)-1,3,4,1)</f>
        <v>C30:C30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45277</v>
      </c>
      <c r="C12" s="4">
        <f>MATCH(B12,テーブル1[日付],0)+1</f>
        <v>29</v>
      </c>
      <c r="D12" t="str">
        <f>ADDRESS(C12,2,4,1)&amp;":"&amp;ADDRESS(C12+COUNTIF(テーブル1[日付],日毎の人員構成・人員別日毎の従事ライン!B12)-1,2,4,1)</f>
        <v>B29:B29</v>
      </c>
      <c r="E12" t="str">
        <f>ADDRESS(C12,3,4,1)&amp;":"&amp;ADDRESS($C12+COUNTIF(テーブル1[日付],日毎の人員構成・人員別日毎の従事ライン!B12)-1,3,4,1)</f>
        <v>C29:C29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45276</v>
      </c>
      <c r="C13" s="4">
        <f>MATCH(B13,テーブル1[日付],0)+1</f>
        <v>28</v>
      </c>
      <c r="D13" t="str">
        <f>ADDRESS(C13,2,4,1)&amp;":"&amp;ADDRESS(C13+COUNTIF(テーブル1[日付],日毎の人員構成・人員別日毎の従事ライン!B13)-1,2,4,1)</f>
        <v>B28:B28</v>
      </c>
      <c r="E13" t="str">
        <f>ADDRESS(C13,3,4,1)&amp;":"&amp;ADDRESS($C13+COUNTIF(テーブル1[日付],日毎の人員構成・人員別日毎の従事ライン!B13)-1,3,4,1)</f>
        <v>C28:C28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45284</v>
      </c>
      <c r="AK13" s="9" t="str">
        <f>" ("&amp;CHOOSE(WEEKDAY(AJ13,1),"日","月","火","水","木","金","土")&amp;")"</f>
        <v xml:space="preserve"> (日)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45275</v>
      </c>
      <c r="C14" s="4">
        <f>MATCH(B14,テーブル1[日付],0)+1</f>
        <v>27</v>
      </c>
      <c r="D14" t="str">
        <f>ADDRESS(C14,2,4,1)&amp;":"&amp;ADDRESS(C14+COUNTIF(テーブル1[日付],日毎の人員構成・人員別日毎の従事ライン!B14)-1,2,4,1)</f>
        <v>B27:B27</v>
      </c>
      <c r="E14" t="str">
        <f>ADDRESS(C14,3,4,1)&amp;":"&amp;ADDRESS($C14+COUNTIF(テーブル1[日付],日毎の人員構成・人員別日毎の従事ライン!B14)-1,3,4,1)</f>
        <v>C27:C27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45274</v>
      </c>
      <c r="C15" s="4">
        <f>MATCH(B15,テーブル1[日付],0)+1</f>
        <v>26</v>
      </c>
      <c r="D15" t="str">
        <f>ADDRESS(C15,2,4,1)&amp;":"&amp;ADDRESS(C15+COUNTIF(テーブル1[日付],日毎の人員構成・人員別日毎の従事ライン!B15)-1,2,4,1)</f>
        <v>B26:B26</v>
      </c>
      <c r="E15" t="str">
        <f>ADDRESS(C15,3,4,1)&amp;":"&amp;ADDRESS($C15+COUNTIF(テーブル1[日付],日毎の人員構成・人員別日毎の従事ライン!B15)-1,3,4,1)</f>
        <v>C26:C26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45273</v>
      </c>
      <c r="C16" s="4">
        <f>MATCH(B16,テーブル1[日付],0)+1</f>
        <v>25</v>
      </c>
      <c r="D16" t="str">
        <f>ADDRESS(C16,2,4,1)&amp;":"&amp;ADDRESS(C16+COUNTIF(テーブル1[日付],日毎の人員構成・人員別日毎の従事ライン!B16)-1,2,4,1)</f>
        <v>B25:B25</v>
      </c>
      <c r="E16" t="str">
        <f>ADDRESS(C16,3,4,1)&amp;":"&amp;ADDRESS($C16+COUNTIF(テーブル1[日付],日毎の人員構成・人員別日毎の従事ライン!B16)-1,3,4,1)</f>
        <v>C25:C25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45272</v>
      </c>
      <c r="C17" s="4">
        <f>MATCH(B17,テーブル1[日付],0)+1</f>
        <v>24</v>
      </c>
      <c r="D17" t="str">
        <f>ADDRESS(C17,2,4,1)&amp;":"&amp;ADDRESS(C17+COUNTIF(テーブル1[日付],日毎の人員構成・人員別日毎の従事ライン!B17)-1,2,4,1)</f>
        <v>B24:B24</v>
      </c>
      <c r="E17" t="str">
        <f>ADDRESS(C17,3,4,1)&amp;":"&amp;ADDRESS($C17+COUNTIF(テーブル1[日付],日毎の人員構成・人員別日毎の従事ライン!B17)-1,3,4,1)</f>
        <v>C24:C24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45271</v>
      </c>
      <c r="C18" s="4">
        <f>MATCH(B18,テーブル1[日付],0)+1</f>
        <v>23</v>
      </c>
      <c r="D18" t="str">
        <f>ADDRESS(C18,2,4,1)&amp;":"&amp;ADDRESS(C18+COUNTIF(テーブル1[日付],日毎の人員構成・人員別日毎の従事ライン!B18)-1,2,4,1)</f>
        <v>B23:B23</v>
      </c>
      <c r="E18" t="str">
        <f>ADDRESS(C18,3,4,1)&amp;":"&amp;ADDRESS($C18+COUNTIF(テーブル1[日付],日毎の人員構成・人員別日毎の従事ライン!B18)-1,3,4,1)</f>
        <v>C23:C23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45270</v>
      </c>
      <c r="C19" s="4">
        <f>MATCH(B19,テーブル1[日付],0)+1</f>
        <v>22</v>
      </c>
      <c r="D19" t="str">
        <f>ADDRESS(C19,2,4,1)&amp;":"&amp;ADDRESS(C19+COUNTIF(テーブル1[日付],日毎の人員構成・人員別日毎の従事ライン!B19)-1,2,4,1)</f>
        <v>B22:B22</v>
      </c>
      <c r="E19" t="str">
        <f>ADDRESS(C19,3,4,1)&amp;":"&amp;ADDRESS($C19+COUNTIF(テーブル1[日付],日毎の人員構成・人員別日毎の従事ライン!B19)-1,3,4,1)</f>
        <v>C22:C22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45269</v>
      </c>
      <c r="C20" s="4">
        <f>MATCH(B20,テーブル1[日付],0)+1</f>
        <v>21</v>
      </c>
      <c r="D20" t="str">
        <f>ADDRESS(C20,2,4,1)&amp;":"&amp;ADDRESS(C20+COUNTIF(テーブル1[日付],日毎の人員構成・人員別日毎の従事ライン!B20)-1,2,4,1)</f>
        <v>B21:B21</v>
      </c>
      <c r="E20" t="str">
        <f>ADDRESS(C20,3,4,1)&amp;":"&amp;ADDRESS($C20+COUNTIF(テーブル1[日付],日毎の人員構成・人員別日毎の従事ライン!B20)-1,3,4,1)</f>
        <v>C21:C21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45283</v>
      </c>
      <c r="AK20" s="9" t="str">
        <f>" ("&amp;CHOOSE(WEEKDAY(AJ20,1),"日","月","火","水","木","金","土")&amp;")"</f>
        <v xml:space="preserve"> (土)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45268</v>
      </c>
      <c r="C21" s="4">
        <f>MATCH(B21,テーブル1[日付],0)+1</f>
        <v>20</v>
      </c>
      <c r="D21" t="str">
        <f>ADDRESS(C21,2,4,1)&amp;":"&amp;ADDRESS(C21+COUNTIF(テーブル1[日付],日毎の人員構成・人員別日毎の従事ライン!B21)-1,2,4,1)</f>
        <v>B20:B20</v>
      </c>
      <c r="E21" t="str">
        <f>ADDRESS(C21,3,4,1)&amp;":"&amp;ADDRESS($C21+COUNTIF(テーブル1[日付],日毎の人員構成・人員別日毎の従事ライン!B21)-1,3,4,1)</f>
        <v>C20:C20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45267</v>
      </c>
      <c r="C22" s="4">
        <f>MATCH(B22,テーブル1[日付],0)+1</f>
        <v>19</v>
      </c>
      <c r="D22" t="str">
        <f>ADDRESS(C22,2,4,1)&amp;":"&amp;ADDRESS(C22+COUNTIF(テーブル1[日付],日毎の人員構成・人員別日毎の従事ライン!B22)-1,2,4,1)</f>
        <v>B19:B19</v>
      </c>
      <c r="E22" t="str">
        <f>ADDRESS(C22,3,4,1)&amp;":"&amp;ADDRESS($C22+COUNTIF(テーブル1[日付],日毎の人員構成・人員別日毎の従事ライン!B22)-1,3,4,1)</f>
        <v>C19:C19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45266</v>
      </c>
      <c r="C23" s="4">
        <f>MATCH(B23,テーブル1[日付],0)+1</f>
        <v>18</v>
      </c>
      <c r="D23" t="str">
        <f>ADDRESS(C23,2,4,1)&amp;":"&amp;ADDRESS(C23+COUNTIF(テーブル1[日付],日毎の人員構成・人員別日毎の従事ライン!B23)-1,2,4,1)</f>
        <v>B18:B18</v>
      </c>
      <c r="E23" t="str">
        <f>ADDRESS(C23,3,4,1)&amp;":"&amp;ADDRESS($C23+COUNTIF(テーブル1[日付],日毎の人員構成・人員別日毎の従事ライン!B23)-1,3,4,1)</f>
        <v>C18:C18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45265</v>
      </c>
      <c r="C24" s="4">
        <f>MATCH(B24,テーブル1[日付],0)+1</f>
        <v>17</v>
      </c>
      <c r="D24" t="str">
        <f>ADDRESS(C24,2,4,1)&amp;":"&amp;ADDRESS(C24+COUNTIF(テーブル1[日付],日毎の人員構成・人員別日毎の従事ライン!B24)-1,2,4,1)</f>
        <v>B17:B17</v>
      </c>
      <c r="E24" t="str">
        <f>ADDRESS(C24,3,4,1)&amp;":"&amp;ADDRESS($C24+COUNTIF(テーブル1[日付],日毎の人員構成・人員別日毎の従事ライン!B24)-1,3,4,1)</f>
        <v>C17:C17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45264</v>
      </c>
      <c r="C25" s="4">
        <f>MATCH(B25,テーブル1[日付],0)+1</f>
        <v>16</v>
      </c>
      <c r="D25" t="str">
        <f>ADDRESS(C25,2,4,1)&amp;":"&amp;ADDRESS(C25+COUNTIF(テーブル1[日付],日毎の人員構成・人員別日毎の従事ライン!B25)-1,2,4,1)</f>
        <v>B16:B16</v>
      </c>
      <c r="E25" t="str">
        <f>ADDRESS(C25,3,4,1)&amp;":"&amp;ADDRESS($C25+COUNTIF(テーブル1[日付],日毎の人員構成・人員別日毎の従事ライン!B25)-1,3,4,1)</f>
        <v>C16:C16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45263</v>
      </c>
      <c r="C26" s="4">
        <f>MATCH(B26,テーブル1[日付],0)+1</f>
        <v>15</v>
      </c>
      <c r="D26" t="str">
        <f>ADDRESS(C26,2,4,1)&amp;":"&amp;ADDRESS(C26+COUNTIF(テーブル1[日付],日毎の人員構成・人員別日毎の従事ライン!B26)-1,2,4,1)</f>
        <v>B15:B15</v>
      </c>
      <c r="E26" t="str">
        <f>ADDRESS(C26,3,4,1)&amp;":"&amp;ADDRESS($C26+COUNTIF(テーブル1[日付],日毎の人員構成・人員別日毎の従事ライン!B26)-1,3,4,1)</f>
        <v>C15:C15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45262</v>
      </c>
      <c r="C27" s="4">
        <f>MATCH(B27,テーブル1[日付],0)+1</f>
        <v>14</v>
      </c>
      <c r="D27" t="str">
        <f>ADDRESS(C27,2,4,1)&amp;":"&amp;ADDRESS(C27+COUNTIF(テーブル1[日付],日毎の人員構成・人員別日毎の従事ライン!B27)-1,2,4,1)</f>
        <v>B14:B14</v>
      </c>
      <c r="E27" t="str">
        <f>ADDRESS(C27,3,4,1)&amp;":"&amp;ADDRESS($C27+COUNTIF(テーブル1[日付],日毎の人員構成・人員別日毎の従事ライン!B27)-1,3,4,1)</f>
        <v>C14:C14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45282</v>
      </c>
      <c r="AK27" s="9" t="str">
        <f>" ("&amp;CHOOSE(WEEKDAY(AJ27,1),"日","月","火","水","木","金","土")&amp;")"</f>
        <v xml:space="preserve"> (金)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45261</v>
      </c>
      <c r="C28" s="4">
        <f>MATCH(B28,テーブル1[日付],0)+1</f>
        <v>13</v>
      </c>
      <c r="D28" t="str">
        <f>ADDRESS(C28,2,4,1)&amp;":"&amp;ADDRESS(C28+COUNTIF(テーブル1[日付],日毎の人員構成・人員別日毎の従事ライン!B28)-1,2,4,1)</f>
        <v>B13:B13</v>
      </c>
      <c r="E28" t="str">
        <f>ADDRESS(C28,3,4,1)&amp;":"&amp;ADDRESS($C28+COUNTIF(テーブル1[日付],日毎の人員構成・人員別日毎の従事ライン!B28)-1,3,4,1)</f>
        <v>C13:C13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45260</v>
      </c>
      <c r="C29" s="4">
        <f>MATCH(B29,テーブル1[日付],0)+1</f>
        <v>12</v>
      </c>
      <c r="D29" t="str">
        <f>ADDRESS(C29,2,4,1)&amp;":"&amp;ADDRESS(C29+COUNTIF(テーブル1[日付],日毎の人員構成・人員別日毎の従事ライン!B29)-1,2,4,1)</f>
        <v>B12:B12</v>
      </c>
      <c r="E29" t="str">
        <f>ADDRESS(C29,3,4,1)&amp;":"&amp;ADDRESS($C29+COUNTIF(テーブル1[日付],日毎の人員構成・人員別日毎の従事ライン!B29)-1,3,4,1)</f>
        <v>C12:C12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45259</v>
      </c>
      <c r="C30" s="4">
        <f>MATCH(B30,テーブル1[日付],0)+1</f>
        <v>11</v>
      </c>
      <c r="D30" t="str">
        <f>ADDRESS(C30,2,4,1)&amp;":"&amp;ADDRESS(C30+COUNTIF(テーブル1[日付],日毎の人員構成・人員別日毎の従事ライン!B30)-1,2,4,1)</f>
        <v>B11:B11</v>
      </c>
      <c r="E30" t="str">
        <f>ADDRESS(C30,3,4,1)&amp;":"&amp;ADDRESS($C30+COUNTIF(テーブル1[日付],日毎の人員構成・人員別日毎の従事ライン!B30)-1,3,4,1)</f>
        <v>C11:C11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45258</v>
      </c>
      <c r="C31" s="4">
        <f>MATCH(B31,テーブル1[日付],0)+1</f>
        <v>10</v>
      </c>
      <c r="D31" t="str">
        <f>ADDRESS(C31,2,4,1)&amp;":"&amp;ADDRESS(C31+COUNTIF(テーブル1[日付],日毎の人員構成・人員別日毎の従事ライン!B31)-1,2,4,1)</f>
        <v>B10:B10</v>
      </c>
      <c r="E31" t="str">
        <f>ADDRESS(C31,3,4,1)&amp;":"&amp;ADDRESS($C31+COUNTIF(テーブル1[日付],日毎の人員構成・人員別日毎の従事ライン!B31)-1,3,4,1)</f>
        <v>C10:C10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45257</v>
      </c>
      <c r="C32" s="4">
        <f>MATCH(B32,テーブル1[日付],0)+1</f>
        <v>9</v>
      </c>
      <c r="D32" t="str">
        <f>ADDRESS(C32,2,4,1)&amp;":"&amp;ADDRESS(C32+COUNTIF(テーブル1[日付],日毎の人員構成・人員別日毎の従事ライン!B32)-1,2,4,1)</f>
        <v>B9:B9</v>
      </c>
      <c r="E32" t="str">
        <f>ADDRESS(C32,3,4,1)&amp;":"&amp;ADDRESS($C32+COUNTIF(テーブル1[日付],日毎の人員構成・人員別日毎の従事ライン!B32)-1,3,4,1)</f>
        <v>C9:C9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45256</v>
      </c>
      <c r="C33" s="4">
        <f>MATCH(B33,テーブル1[日付],0)+1</f>
        <v>8</v>
      </c>
      <c r="E33" t="str">
        <f>ADDRESS(C33,3,4,1)&amp;":"&amp;ADDRESS($C33+COUNTIF(テーブル1[日付],日毎の人員構成・人員別日毎の従事ライン!B33)-1,3,4,1)</f>
        <v>C8:C8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45281</v>
      </c>
      <c r="AK34" s="9" t="str">
        <f>" ("&amp;CHOOSE(WEEKDAY(AJ34,1),"日","月","火","水","木","金","土")&amp;")"</f>
        <v xml:space="preserve"> (木)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45280</v>
      </c>
      <c r="AK41" s="9" t="str">
        <f>" ("&amp;CHOOSE(WEEKDAY(AJ41,1),"日","月","火","水","木","金","土")&amp;")"</f>
        <v xml:space="preserve"> (水)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45279</v>
      </c>
      <c r="AK48" s="9" t="str">
        <f>" ("&amp;CHOOSE(WEEKDAY(AJ48,1),"日","月","火","水","木","金","土")&amp;")"</f>
        <v xml:space="preserve"> (火)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45278</v>
      </c>
      <c r="AK55" s="9" t="str">
        <f>" ("&amp;CHOOSE(WEEKDAY(AJ55,1),"日","月","火","水","木","金","土")&amp;")"</f>
        <v xml:space="preserve"> (月)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45277</v>
      </c>
      <c r="AK62" s="9" t="str">
        <f>" ("&amp;CHOOSE(WEEKDAY(AJ62,1),"日","月","火","水","木","金","土")&amp;")"</f>
        <v xml:space="preserve"> (日)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45276</v>
      </c>
      <c r="AK69" s="9" t="str">
        <f>" ("&amp;CHOOSE(WEEKDAY(AJ69,1),"日","月","火","水","木","金","土")&amp;")"</f>
        <v xml:space="preserve"> (土)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45275</v>
      </c>
      <c r="AK76" s="9" t="str">
        <f>" ("&amp;CHOOSE(WEEKDAY(AJ76,1),"日","月","火","水","木","金","土")&amp;")"</f>
        <v xml:space="preserve"> (金)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45274</v>
      </c>
      <c r="AK83" s="9" t="str">
        <f>" ("&amp;CHOOSE(WEEKDAY(AJ83,1),"日","月","火","水","木","金","土")&amp;")"</f>
        <v xml:space="preserve"> (木)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45273</v>
      </c>
      <c r="AK90" s="9" t="str">
        <f>" ("&amp;CHOOSE(WEEKDAY(AJ90,1),"日","月","火","水","木","金","土")&amp;")"</f>
        <v xml:space="preserve"> (水)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45272</v>
      </c>
      <c r="AK97" s="9" t="str">
        <f>" ("&amp;CHOOSE(WEEKDAY(AJ97,1),"日","月","火","水","木","金","土")&amp;")"</f>
        <v xml:space="preserve"> (火)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45271</v>
      </c>
      <c r="AK104" s="9" t="str">
        <f>" ("&amp;CHOOSE(WEEKDAY(AJ104,1),"日","月","火","水","木","金","土")&amp;")"</f>
        <v xml:space="preserve"> (月)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45270</v>
      </c>
      <c r="AK111" s="9" t="str">
        <f>" ("&amp;CHOOSE(WEEKDAY(AJ111,1),"日","月","火","水","木","金","土")&amp;")"</f>
        <v xml:space="preserve"> (日)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45269</v>
      </c>
      <c r="AK118" s="9" t="str">
        <f>" ("&amp;CHOOSE(WEEKDAY(AJ118,1),"日","月","火","水","木","金","土")&amp;")"</f>
        <v xml:space="preserve"> (土)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45268</v>
      </c>
      <c r="AK125" s="9" t="str">
        <f>" ("&amp;CHOOSE(WEEKDAY(AJ125,1),"日","月","火","水","木","金","土")&amp;")"</f>
        <v xml:space="preserve"> (金)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45267</v>
      </c>
      <c r="AK132" s="9" t="str">
        <f>" ("&amp;CHOOSE(WEEKDAY(AJ132,1),"日","月","火","水","木","金","土")&amp;")"</f>
        <v xml:space="preserve"> (木)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45266</v>
      </c>
      <c r="AK139" s="9" t="str">
        <f>" ("&amp;CHOOSE(WEEKDAY(AJ139,1),"日","月","火","水","木","金","土")&amp;")"</f>
        <v xml:space="preserve"> (水)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45265</v>
      </c>
      <c r="AK146" s="9" t="str">
        <f>" ("&amp;CHOOSE(WEEKDAY(AJ146,1),"日","月","火","水","木","金","土")&amp;")"</f>
        <v xml:space="preserve"> (火)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45264</v>
      </c>
      <c r="AK153" s="9" t="str">
        <f>" ("&amp;CHOOSE(WEEKDAY(AJ153,1),"日","月","火","水","木","金","土")&amp;")"</f>
        <v xml:space="preserve"> (月)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45263</v>
      </c>
      <c r="AK160" s="9" t="str">
        <f>" ("&amp;CHOOSE(WEEKDAY(AJ160,1),"日","月","火","水","木","金","土")&amp;")"</f>
        <v xml:space="preserve"> (日)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45262</v>
      </c>
      <c r="AK167" s="9" t="str">
        <f>" ("&amp;CHOOSE(WEEKDAY(AJ167,1),"日","月","火","水","木","金","土")&amp;")"</f>
        <v xml:space="preserve"> (土)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45261</v>
      </c>
      <c r="AK174" s="9" t="str">
        <f>" ("&amp;CHOOSE(WEEKDAY(AJ174,1),"日","月","火","水","木","金","土")&amp;")"</f>
        <v xml:space="preserve"> (金)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45260</v>
      </c>
      <c r="AK181" s="9" t="str">
        <f>" ("&amp;CHOOSE(WEEKDAY(AJ181,1),"日","月","火","水","木","金","土")&amp;")"</f>
        <v xml:space="preserve"> (木)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45259</v>
      </c>
      <c r="AK188" s="9" t="str">
        <f>" ("&amp;CHOOSE(WEEKDAY(AJ188,1),"日","月","火","水","木","金","土")&amp;")"</f>
        <v xml:space="preserve"> (水)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29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0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45285</v>
      </c>
      <c r="E2">
        <f>MATCH(D2,テーブル1[[#All],[日付]],0)</f>
        <v>37</v>
      </c>
      <c r="F2" t="str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$B$37:$C$37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8" t="str">
        <f>MONTH(D2)&amp;"月"&amp;DAY(D2)&amp;"日("&amp;CHOOSE(WEEKDAY($D$2,2),"月","火","水","木","金","土","日")&amp;")のライン構成と人員別統計情報"</f>
        <v>12月25日(月)のライン構成と人員別統計情報</v>
      </c>
      <c r="C4" s="1"/>
    </row>
    <row r="5" spans="1:16" ht="18.75" customHeight="1">
      <c r="A5" s="1"/>
      <c r="B5" t="str">
        <f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2023年12月25日 ～ 2023年11月20日</v>
      </c>
      <c r="C5" s="28"/>
      <c r="D5" s="28"/>
      <c r="E5" s="28"/>
      <c r="F5" s="1"/>
      <c r="K5" t="s">
        <v>190</v>
      </c>
    </row>
    <row r="6" spans="1:16" ht="18.75" customHeight="1">
      <c r="B6" s="28"/>
      <c r="C6" s="28"/>
      <c r="D6" s="28"/>
      <c r="E6" s="28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茶Ⅲ</v>
      </c>
      <c r="C7" t="str">
        <f ca="1">IFERROR(INDEX(INDEX(INDIRECT($B$2&amp;$F$2),0,2),$A7),"")</f>
        <v>餃子</v>
      </c>
      <c r="D7" t="e">
        <f ca="1">IF(B7="","",IF(ISNA(I7),"久し",IF(I7=1,"昨日",I7&amp;"日"))&amp;"ぶり"&amp;IF(J7&lt;&gt;1,J7&amp;"回目",""))</f>
        <v>#N/A</v>
      </c>
      <c r="E7" t="e">
        <f ca="1">IF(B7="","",IF(MAX(K7:P7)=0,"","連続"&amp;MAX(K7:P7)&amp;"日"))</f>
        <v>#N/A</v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/>
      </c>
      <c r="C8" t="str">
        <f t="shared" ref="C8:C48" ca="1" si="4">IFERROR(INDEX(INDEX(INDIRECT($B$2&amp;$F$2),0,2),$A8),"")</f>
        <v/>
      </c>
      <c r="D8" t="str">
        <f t="shared" ref="D8:D48" ca="1" si="5">IF(B8="","",IF(ISNA(I8),"久し",IF(I8=1,"昨日",I8&amp;"日"))&amp;"ぶり"&amp;IF(J8&lt;&gt;1,J8&amp;"回目",""))</f>
        <v/>
      </c>
      <c r="E8" t="str">
        <f t="shared" ref="E8:E48" ca="1" si="6">IF(B8="","",IF(MAX(K8:P8)=0,"","連続"&amp;MAX(K8:P8)&amp;"日"))</f>
        <v/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t="shared" ca="1" si="6"/>
        <v/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t="shared" ca="1" si="6"/>
        <v/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t="shared" ca="1" si="6"/>
        <v/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t="shared" ca="1" si="6"/>
        <v/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t="shared" ca="1" si="6"/>
        <v/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t="shared" ca="1" si="6"/>
        <v/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/>
      </c>
      <c r="C15" t="str">
        <f t="shared" ca="1" si="4"/>
        <v/>
      </c>
      <c r="D15" t="str">
        <f t="shared" ca="1" si="5"/>
        <v/>
      </c>
      <c r="E15" t="str">
        <f t="shared" ca="1" si="6"/>
        <v/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/>
      </c>
      <c r="C16" t="str">
        <f t="shared" ca="1" si="4"/>
        <v/>
      </c>
      <c r="D16" t="str">
        <f t="shared" ca="1" si="5"/>
        <v/>
      </c>
      <c r="E16" t="str">
        <f t="shared" ca="1" si="6"/>
        <v/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/>
      </c>
      <c r="C17" t="str">
        <f t="shared" ca="1" si="4"/>
        <v/>
      </c>
      <c r="D17" t="str">
        <f t="shared" ca="1" si="5"/>
        <v/>
      </c>
      <c r="E17" t="str">
        <f t="shared" ca="1" si="6"/>
        <v/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/>
      </c>
      <c r="C18" t="str">
        <f t="shared" ca="1" si="4"/>
        <v/>
      </c>
      <c r="D18" t="str">
        <f t="shared" ca="1" si="5"/>
        <v/>
      </c>
      <c r="E18" t="str">
        <f t="shared" ca="1" si="6"/>
        <v/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/>
      </c>
      <c r="C19" t="str">
        <f t="shared" ca="1" si="4"/>
        <v/>
      </c>
      <c r="D19" t="str">
        <f ca="1">IF(B19="","",IF(ISNA(I19),"久し",IF(I19=1,"昨日",I19&amp;"日"))&amp;"ぶり"&amp;IF(J19&lt;&gt;1,J19&amp;"回目",""))</f>
        <v/>
      </c>
      <c r="E19" t="str">
        <f t="shared" ca="1" si="6"/>
        <v/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/>
      </c>
      <c r="C20" t="str">
        <f t="shared" ca="1" si="4"/>
        <v/>
      </c>
      <c r="D20" t="str">
        <f t="shared" ca="1" si="5"/>
        <v/>
      </c>
      <c r="E20" t="str">
        <f t="shared" ca="1" si="6"/>
        <v/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/>
      </c>
      <c r="C21" t="str">
        <f t="shared" ca="1" si="4"/>
        <v/>
      </c>
      <c r="D21" t="str">
        <f t="shared" ca="1" si="5"/>
        <v/>
      </c>
      <c r="E21" t="str">
        <f t="shared" ca="1" si="6"/>
        <v/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/>
      </c>
      <c r="C22" t="str">
        <f t="shared" ca="1" si="4"/>
        <v/>
      </c>
      <c r="D22" t="str">
        <f t="shared" ca="1" si="5"/>
        <v/>
      </c>
      <c r="E22" t="str">
        <f t="shared" ca="1" si="6"/>
        <v/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/>
      </c>
      <c r="C23" t="str">
        <f t="shared" ca="1" si="4"/>
        <v/>
      </c>
      <c r="D23" t="str">
        <f t="shared" ca="1" si="5"/>
        <v/>
      </c>
      <c r="E23" t="str">
        <f t="shared" ca="1" si="6"/>
        <v/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/>
      </c>
      <c r="C24" t="str">
        <f t="shared" ca="1" si="4"/>
        <v/>
      </c>
      <c r="D24" t="str">
        <f t="shared" ca="1" si="5"/>
        <v/>
      </c>
      <c r="E24" t="str">
        <f t="shared" ca="1" si="6"/>
        <v/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/>
      </c>
      <c r="C25" t="str">
        <f t="shared" ca="1" si="4"/>
        <v/>
      </c>
      <c r="D25" t="str">
        <f t="shared" ca="1" si="5"/>
        <v/>
      </c>
      <c r="E25" t="str">
        <f t="shared" ca="1" si="6"/>
        <v/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/>
      </c>
      <c r="C26" t="str">
        <f t="shared" ca="1" si="4"/>
        <v/>
      </c>
      <c r="D26" t="str">
        <f t="shared" ca="1" si="5"/>
        <v/>
      </c>
      <c r="E26" t="str">
        <f t="shared" ca="1" si="6"/>
        <v/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/>
      </c>
      <c r="C27" t="str">
        <f t="shared" ca="1" si="4"/>
        <v/>
      </c>
      <c r="D27" t="str">
        <f t="shared" ca="1" si="5"/>
        <v/>
      </c>
      <c r="E27" t="str">
        <f t="shared" ca="1" si="6"/>
        <v/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/>
      </c>
      <c r="C28" t="str">
        <f t="shared" ca="1" si="4"/>
        <v/>
      </c>
      <c r="D28" t="str">
        <f t="shared" ca="1" si="5"/>
        <v/>
      </c>
      <c r="E28" t="str">
        <f t="shared" ca="1" si="6"/>
        <v/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/>
      </c>
      <c r="C29" t="str">
        <f t="shared" ca="1" si="4"/>
        <v/>
      </c>
      <c r="D29" t="str">
        <f t="shared" ca="1" si="5"/>
        <v/>
      </c>
      <c r="E29" t="str">
        <f t="shared" ca="1" si="6"/>
        <v/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/>
      </c>
      <c r="C30" t="str">
        <f t="shared" ca="1" si="4"/>
        <v/>
      </c>
      <c r="D30" t="str">
        <f t="shared" ca="1" si="5"/>
        <v/>
      </c>
      <c r="E30" t="str">
        <f t="shared" ca="1" si="6"/>
        <v/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/>
      </c>
      <c r="C31" t="str">
        <f t="shared" ca="1" si="4"/>
        <v/>
      </c>
      <c r="D31" t="str">
        <f t="shared" ca="1" si="5"/>
        <v/>
      </c>
      <c r="E31" t="str">
        <f t="shared" ca="1" si="6"/>
        <v/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/>
      </c>
      <c r="C32" t="str">
        <f t="shared" ca="1" si="4"/>
        <v/>
      </c>
      <c r="D32" t="str">
        <f t="shared" ca="1" si="5"/>
        <v/>
      </c>
      <c r="E32" t="str">
        <f t="shared" ca="1" si="6"/>
        <v/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/>
      </c>
      <c r="C33" t="str">
        <f t="shared" ca="1" si="4"/>
        <v/>
      </c>
      <c r="D33" t="str">
        <f t="shared" ca="1" si="5"/>
        <v/>
      </c>
      <c r="E33" t="str">
        <f t="shared" ca="1" si="6"/>
        <v/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/>
      </c>
      <c r="C34" t="str">
        <f t="shared" ca="1" si="4"/>
        <v/>
      </c>
      <c r="D34" t="str">
        <f t="shared" ca="1" si="5"/>
        <v/>
      </c>
      <c r="E34" t="str">
        <f t="shared" ca="1" si="6"/>
        <v/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/>
      </c>
      <c r="C35" t="str">
        <f t="shared" ca="1" si="4"/>
        <v/>
      </c>
      <c r="D35" t="str">
        <f t="shared" ca="1" si="5"/>
        <v/>
      </c>
      <c r="E35" t="str">
        <f t="shared" ca="1" si="6"/>
        <v/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/>
      </c>
      <c r="C36" t="str">
        <f t="shared" ca="1" si="4"/>
        <v/>
      </c>
      <c r="D36" t="str">
        <f t="shared" ca="1" si="5"/>
        <v/>
      </c>
      <c r="E36" t="str">
        <f t="shared" ca="1" si="6"/>
        <v/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/>
      </c>
      <c r="C37" t="str">
        <f t="shared" ca="1" si="4"/>
        <v/>
      </c>
      <c r="D37" t="str">
        <f t="shared" ca="1" si="5"/>
        <v/>
      </c>
      <c r="E37" t="str">
        <f t="shared" ca="1" si="6"/>
        <v/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/>
      </c>
      <c r="C38" t="str">
        <f t="shared" ca="1" si="4"/>
        <v/>
      </c>
      <c r="D38" t="str">
        <f t="shared" ca="1" si="5"/>
        <v/>
      </c>
      <c r="E38" t="str">
        <f t="shared" ca="1" si="6"/>
        <v/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/>
      </c>
      <c r="C39" t="str">
        <f t="shared" ca="1" si="4"/>
        <v/>
      </c>
      <c r="D39" t="str">
        <f t="shared" ca="1" si="5"/>
        <v/>
      </c>
      <c r="E39" t="str">
        <f t="shared" ca="1" si="6"/>
        <v/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/>
      </c>
      <c r="C40" t="str">
        <f t="shared" ca="1" si="4"/>
        <v/>
      </c>
      <c r="D40" t="str">
        <f t="shared" ca="1" si="5"/>
        <v/>
      </c>
      <c r="E40" t="str">
        <f t="shared" ca="1" si="6"/>
        <v/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/>
      </c>
      <c r="C41" t="str">
        <f t="shared" ca="1" si="4"/>
        <v/>
      </c>
      <c r="D41" t="str">
        <f t="shared" ca="1" si="5"/>
        <v/>
      </c>
      <c r="E41" t="str">
        <f t="shared" ca="1" si="6"/>
        <v/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/>
      </c>
      <c r="C42" t="str">
        <f t="shared" ca="1" si="4"/>
        <v/>
      </c>
      <c r="D42" t="str">
        <f t="shared" ca="1" si="5"/>
        <v/>
      </c>
      <c r="E42" t="str">
        <f t="shared" ca="1" si="6"/>
        <v/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>管理!$C$1</f>
        <v>集計期間 2023年11月20日 ～ 2023年12月25日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4">
        <v>1</v>
      </c>
      <c r="AV4" s="34"/>
      <c r="AW4" s="34">
        <v>2</v>
      </c>
      <c r="AX4" s="34"/>
      <c r="AY4" s="34">
        <v>3</v>
      </c>
      <c r="AZ4" s="34"/>
      <c r="BA4" s="34">
        <v>4</v>
      </c>
      <c r="BB4" s="34"/>
      <c r="BC4" s="34">
        <v>5</v>
      </c>
      <c r="BD4" s="34"/>
      <c r="BE4" s="34">
        <v>6</v>
      </c>
      <c r="BF4" s="34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5" t="s">
        <v>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>管理!$C$1</f>
        <v>集計期間 2023年11月20日 ～ 2023年12月25日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>管理!$C$1</f>
        <v>集計期間 2023年11月20日 ～ 2023年12月25日</v>
      </c>
      <c r="AZ4" s="1" t="str">
        <f>管理!$C$1</f>
        <v>集計期間 2023年11月20日 ～ 2023年12月25日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45250</v>
      </c>
      <c r="B5" s="1">
        <f>MAX(テーブル1[日付])</f>
        <v>45285</v>
      </c>
      <c r="C5" t="str">
        <f>IF(COUNTIF(管理!$D$4:$D$31,"ない")&gt;1,"*","")</f>
        <v/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
</file>

<file path=customXml/item3.xml>�� �0�0�0�0 �0�0�0�0 �e�NPpe �e�NPpe 
</file>

<file path=customXml/item4.xml>�� �eW0D0�0�0�0�0�0�0�0�0 �0�0�0�0 
</file>

<file path=customXml/item5.xml>�� �0�0�0�0 �0�0�0�0 
</file>

<file path=customXml/item6.xml>�� 
</file>

<file path=customXml/item7.xml>�� �0�0�0�0 �0�0�0�0 �0�0�0�0 �0�0�0�0  g'Y$P  g'Y$P 
</file>

<file path=customXml/item8.xml>�� �0�0�0�0 �0�0�0�0 �0�0�0�0 �0�0�0�0 
</file>

<file path=customXml/item9.xml>�� �0�0�0�0 �0�0�0�0 �0�0�0�0 �0�0�0�0  g'Y$P  g'Y$P 
</file>

<file path=customXml/item10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11.xml>�� �0�0�0�0 �0�0�0�0 �0�0�0�0 �0�0�0�0  g'Y$P  g'Y$P 
</file>

<file path=customXml/item12.xml>�� �0�0�0 �0�0�0 �N�� �N��  g'Y$P  g'Y$P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459419F3-9872-4F56-B52F-3DC192F81EE2}">
  <ds:schemaRefs/>
</ds:datastoreItem>
</file>

<file path=customXml/itemProps3.xml><?xml version="1.0" encoding="utf-8"?>
<ds:datastoreItem xmlns:ds="http://schemas.openxmlformats.org/officeDocument/2006/customXml" ds:itemID="{27F892FB-9519-4F37-8F67-AD4250083452}">
  <ds:schemaRefs/>
</ds:datastoreItem>
</file>

<file path=customXml/itemProps4.xml><?xml version="1.0" encoding="utf-8"?>
<ds:datastoreItem xmlns:ds="http://schemas.openxmlformats.org/officeDocument/2006/customXml" ds:itemID="{0B2F02B6-0CA1-489E-85AD-583EAE6D63A3}">
  <ds:schemaRefs/>
</ds:datastoreItem>
</file>

<file path=customXml/itemProps5.xml><?xml version="1.0" encoding="utf-8"?>
<ds:datastoreItem xmlns:ds="http://schemas.openxmlformats.org/officeDocument/2006/customXml" ds:itemID="{4254FDF8-7356-4E39-A5C1-5ED8E7B3161A}">
  <ds:schemaRefs/>
</ds:datastoreItem>
</file>

<file path=customXml/itemProps6.xml><?xml version="1.0" encoding="utf-8"?>
<ds:datastoreItem xmlns:ds="http://schemas.openxmlformats.org/officeDocument/2006/customXml" ds:itemID="{05CD614E-B299-4D31-B177-F52D70B1EDC3}">
  <ds:schemaRefs/>
</ds:datastoreItem>
</file>

<file path=customXml/itemProps7.xml><?xml version="1.0" encoding="utf-8"?>
<ds:datastoreItem xmlns:ds="http://schemas.openxmlformats.org/officeDocument/2006/customXml" ds:itemID="{7C0A5969-2016-44E6-B235-88E8F1D228E0}">
  <ds:schemaRefs/>
</ds:datastoreItem>
</file>

<file path=customXml/itemProps8.xml><?xml version="1.0" encoding="utf-8"?>
<ds:datastoreItem xmlns:ds="http://schemas.openxmlformats.org/officeDocument/2006/customXml" ds:itemID="{0199DECE-C47A-434A-852B-C322D46EFB0B}">
  <ds:schemaRefs/>
</ds:datastoreItem>
</file>

<file path=customXml/itemProps9.xml><?xml version="1.0" encoding="utf-8"?>
<ds:datastoreItem xmlns:ds="http://schemas.openxmlformats.org/officeDocument/2006/customXml" ds:itemID="{19F92809-040C-4BFE-8C0B-0892E35DF123}">
  <ds:schemaRefs/>
</ds:datastoreItem>
</file>

<file path=customXml/itemProps10.xml><?xml version="1.0" encoding="utf-8"?>
<ds:datastoreItem xmlns:ds="http://schemas.openxmlformats.org/officeDocument/2006/customXml" ds:itemID="{CBA42280-8A07-48D2-BBD9-F052C99F3B53}">
  <ds:schemaRefs/>
</ds:datastoreItem>
</file>

<file path=customXml/itemProps11.xml><?xml version="1.0" encoding="utf-8"?>
<ds:datastoreItem xmlns:ds="http://schemas.openxmlformats.org/officeDocument/2006/customXml" ds:itemID="{FECF27E9-91EE-4B19-9E1C-883E71E36426}">
  <ds:schemaRefs/>
</ds:datastoreItem>
</file>

<file path=customXml/itemProps12.xml><?xml version="1.0" encoding="utf-8"?>
<ds:datastoreItem xmlns:ds="http://schemas.openxmlformats.org/officeDocument/2006/customXml" ds:itemID="{4994EBD9-63E5-4ACC-A85E-531981D9C9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19</vt:i4>
      </vt:variant>
    </vt:vector>
  </HeadingPairs>
  <TitlesOfParts>
    <vt:vector size="28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管理!UnprocessedDatesRange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2024-01-06T15:42:04Z</dcterms:modified>
</cp:coreProperties>
</file>